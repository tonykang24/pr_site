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chema" sheetId="1" state="visible" r:id="rId3"/>
    <sheet name="01_JumpStage" sheetId="2" state="visible" r:id="rId4"/>
    <sheet name="02_CombatParam" sheetId="3" state="visible" r:id="rId5"/>
    <sheet name="03_Hitbox" sheetId="4" state="visible" r:id="rId6"/>
    <sheet name="04_StateTransition" sheetId="5" state="visible" r:id="rId7"/>
    <sheet name="05_InputMap" sheetId="6" state="visible" r:id="rId8"/>
    <sheet name="06_FeedbackMatrix" sheetId="7" state="visible" r:id="rId9"/>
    <sheet name="07_LevelRule" sheetId="8" state="visible" r:id="rId10"/>
    <sheet name="08_DamageMatri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<sst xmlns="http://schemas.openxmlformats.org/spreadsheetml/2006/main" count="1150" uniqueCount="726">
  <si>
    <r>
      <rPr>
        <b val="true"/>
        <sz val="14"/>
        <rFont val="Arial"/>
        <family val="0"/>
        <charset val="1"/>
      </rPr>
      <t xml:space="preserve">SHOVEL </t>
    </r>
    <r>
      <rPr>
        <b val="true"/>
        <sz val="14"/>
        <rFont val="Noto Sans CJK SC"/>
        <family val="2"/>
      </rPr>
      <t xml:space="preserve">캐릭터 데이터 시트 — 스키마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검증</t>
    </r>
  </si>
  <si>
    <r>
      <rPr>
        <i val="true"/>
        <sz val="9"/>
        <color rgb="FF666666"/>
        <rFont val="Noto Sans CJK SC"/>
        <family val="2"/>
      </rPr>
      <t xml:space="preserve">원본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 </t>
    </r>
    <r>
      <rPr>
        <i val="true"/>
        <sz val="9"/>
        <color rgb="FF666666"/>
        <rFont val="Arial"/>
        <family val="0"/>
        <charset val="1"/>
      </rPr>
      <t xml:space="preserve">v2.7 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이 워크북은 그 문서의 값 부분만 정규화한 것이고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왜 이 설계인가는 기획서 본문에 남아 있습니다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</si>
  <si>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i val="true"/>
        <sz val="9"/>
        <color rgb="FF666666"/>
        <rFont val="Noto Sans CJK SC"/>
        <family val="2"/>
      </rPr>
      <t xml:space="preserve">정본 규칙 — 시트에 올라온 값은 이 시트가 정본입니다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값이 바뀌면 시트를 고치고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기획서 본문은 정성 서술로 둡니다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</si>
  <si>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■ 테이블 목록</t>
  </si>
  <si>
    <t xml:space="preserve">시트</t>
  </si>
  <si>
    <t xml:space="preserve">테이블</t>
  </si>
  <si>
    <t xml:space="preserve">PK</t>
  </si>
  <si>
    <t xml:space="preserve">행 수</t>
  </si>
  <si>
    <t xml:space="preserve">담는 것</t>
  </si>
  <si>
    <t xml:space="preserve">01_JumpStage</t>
  </si>
  <si>
    <t xml:space="preserve">jump_stage</t>
  </si>
  <si>
    <t xml:space="preserve">jump_stage_id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</si>
  <si>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추가 도약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높이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수평 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권장 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필요 천장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실효 속도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시트가 참조하는 허브</t>
    </r>
  </si>
  <si>
    <t xml:space="preserve">02_CombatParam</t>
  </si>
  <si>
    <t xml:space="preserve">combat_param</t>
  </si>
  <si>
    <t xml:space="preserve">param_id</t>
  </si>
  <si>
    <r>
      <rPr>
        <sz val="10"/>
        <rFont val="Noto Sans CJK SC"/>
        <family val="2"/>
      </rPr>
      <t xml:space="preserve">체력</t>
    </r>
    <r>
      <rPr>
        <sz val="10"/>
        <rFont val="Arial"/>
        <family val="0"/>
        <charset val="1"/>
      </rPr>
      <t xml:space="preserve">·ATK·</t>
    </r>
    <r>
      <rPr>
        <sz val="10"/>
        <rFont val="Noto Sans CJK SC"/>
        <family val="2"/>
      </rPr>
      <t xml:space="preserve">낙하 구간 배율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액션 데미지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잔불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판정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 상수</t>
    </r>
  </si>
  <si>
    <t xml:space="preserve">03_Hitbox</t>
  </si>
  <si>
    <t xml:space="preserve">hitbox</t>
  </si>
  <si>
    <t xml:space="preserve">box_id</t>
  </si>
  <si>
    <r>
      <rPr>
        <sz val="10"/>
        <rFont val="Noto Sans CJK SC"/>
        <family val="2"/>
      </rPr>
      <t xml:space="preserve">허트박스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공격 판정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패링 수용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파괴 영역의 규격과 오프셋</t>
    </r>
  </si>
  <si>
    <t xml:space="preserve">04_StateTransition</t>
  </si>
  <si>
    <t xml:space="preserve">state_rule</t>
  </si>
  <si>
    <t xml:space="preserve">rule_id</t>
  </si>
  <si>
    <r>
      <rPr>
        <sz val="10"/>
        <rFont val="Noto Sans CJK SC"/>
        <family val="2"/>
      </rPr>
      <t xml:space="preserve">정상 전환 </t>
    </r>
    <r>
      <rPr>
        <sz val="10"/>
        <rFont val="Arial"/>
        <family val="0"/>
        <charset val="1"/>
      </rPr>
      <t xml:space="preserve">10 + </t>
    </r>
    <r>
      <rPr>
        <sz val="10"/>
        <rFont val="Noto Sans CJK SC"/>
        <family val="2"/>
      </rPr>
      <t xml:space="preserve">예외 케이스 </t>
    </r>
    <r>
      <rPr>
        <sz val="10"/>
        <rFont val="Arial"/>
        <family val="0"/>
        <charset val="1"/>
      </rPr>
      <t xml:space="preserve">8</t>
    </r>
  </si>
  <si>
    <t xml:space="preserve">05_InputMap</t>
  </si>
  <si>
    <t xml:space="preserve">input_map</t>
  </si>
  <si>
    <t xml:space="preserve">action_id</t>
  </si>
  <si>
    <r>
      <rPr>
        <sz val="10"/>
        <rFont val="Noto Sans CJK SC"/>
        <family val="2"/>
      </rPr>
      <t xml:space="preserve">키보드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패드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입력 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홀드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쿨다운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버퍼</t>
    </r>
  </si>
  <si>
    <t xml:space="preserve">06_FeedbackMatrix</t>
  </si>
  <si>
    <t xml:space="preserve">action_feedback</t>
  </si>
  <si>
    <t xml:space="preserve">feedback_id</t>
  </si>
  <si>
    <r>
      <rPr>
        <sz val="10"/>
        <rFont val="Noto Sans CJK SC"/>
        <family val="2"/>
      </rPr>
      <t xml:space="preserve">액션별 넉백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셰이크</t>
    </r>
    <r>
      <rPr>
        <sz val="10"/>
        <rFont val="Arial"/>
        <family val="0"/>
        <charset val="1"/>
      </rPr>
      <t xml:space="preserve">·SFX·VFX·</t>
    </r>
    <r>
      <rPr>
        <sz val="10"/>
        <rFont val="Noto Sans CJK SC"/>
        <family val="2"/>
      </rPr>
      <t xml:space="preserve">진동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의도</t>
    </r>
  </si>
  <si>
    <t xml:space="preserve">07_LevelRule</t>
  </si>
  <si>
    <t xml:space="preserve">level_rule</t>
  </si>
  <si>
    <r>
      <rPr>
        <sz val="10"/>
        <rFont val="Noto Sans CJK SC"/>
        <family val="2"/>
      </rPr>
      <t xml:space="preserve">구간별 발판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갭 상한 </t>
    </r>
    <r>
      <rPr>
        <sz val="10"/>
        <rFont val="Arial"/>
        <family val="0"/>
        <charset val="1"/>
      </rPr>
      <t xml:space="preserve">7 + </t>
    </r>
    <r>
      <rPr>
        <sz val="10"/>
        <rFont val="Noto Sans CJK SC"/>
        <family val="2"/>
      </rPr>
      <t xml:space="preserve">천장 높이 유형 </t>
    </r>
    <r>
      <rPr>
        <sz val="10"/>
        <rFont val="Arial"/>
        <family val="0"/>
        <charset val="1"/>
      </rPr>
      <t xml:space="preserve">5. 01</t>
    </r>
    <r>
      <rPr>
        <sz val="10"/>
        <rFont val="Noto Sans CJK SC"/>
        <family val="2"/>
      </rPr>
      <t xml:space="preserve">을 참조해 상한 초과를 수식으로 판정</t>
    </r>
  </si>
  <si>
    <r>
      <rPr>
        <b val="true"/>
        <sz val="12"/>
        <rFont val="Arial"/>
        <family val="0"/>
        <charset val="1"/>
      </rPr>
      <t xml:space="preserve">■ FK </t>
    </r>
    <r>
      <rPr>
        <b val="true"/>
        <sz val="12"/>
        <rFont val="Noto Sans CJK SC"/>
        <family val="2"/>
      </rPr>
      <t xml:space="preserve">관계</t>
    </r>
  </si>
  <si>
    <t xml:space="preserve">참조하는 쪽</t>
  </si>
  <si>
    <t xml:space="preserve">칼럼</t>
  </si>
  <si>
    <t xml:space="preserve">가리키는 곳</t>
  </si>
  <si>
    <t xml:space="preserve">관계</t>
  </si>
  <si>
    <t xml:space="preserve">비고</t>
  </si>
  <si>
    <t xml:space="preserve">allowed_stage_fk</t>
  </si>
  <si>
    <t xml:space="preserve">01_JumpStage.jump_stage_id</t>
  </si>
  <si>
    <t xml:space="preserve">N:1</t>
  </si>
  <si>
    <r>
      <rPr>
        <sz val="10"/>
        <rFont val="Noto Sans CJK SC"/>
        <family val="2"/>
      </rPr>
      <t xml:space="preserve">구간이 허용하는 최대 점프 단계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값으로 도달 높이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권장 갭을 끌어와 상한을 검증</t>
    </r>
  </si>
  <si>
    <t xml:space="preserve">shake_level</t>
  </si>
  <si>
    <r>
      <rPr>
        <sz val="10"/>
        <rFont val="Arial"/>
        <family val="0"/>
        <charset val="1"/>
      </rPr>
      <t xml:space="preserve">00_Schema.</t>
    </r>
    <r>
      <rPr>
        <sz val="10"/>
        <rFont val="Noto Sans CJK SC"/>
        <family val="2"/>
      </rPr>
      <t xml:space="preserve">진동 강도 </t>
    </r>
    <r>
      <rPr>
        <sz val="10"/>
        <rFont val="Arial"/>
        <family val="0"/>
        <charset val="1"/>
      </rPr>
      <t xml:space="preserve">enum</t>
    </r>
  </si>
  <si>
    <r>
      <rPr>
        <sz val="10"/>
        <rFont val="Noto Sans CJK SC"/>
        <family val="2"/>
      </rPr>
      <t xml:space="preserve">화면 셰이크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컨트롤러 진동 강도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단계</t>
    </r>
  </si>
  <si>
    <t xml:space="preserve">ref</t>
  </si>
  <si>
    <t xml:space="preserve">기획서 절 번호</t>
  </si>
  <si>
    <t xml:space="preserve">—</t>
  </si>
  <si>
    <r>
      <rPr>
        <sz val="10"/>
        <rFont val="Noto Sans CJK SC"/>
        <family val="2"/>
      </rPr>
      <t xml:space="preserve">값의 출처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시트↔기획서 역추적용</t>
    </r>
  </si>
  <si>
    <t xml:space="preserve">move_ref</t>
  </si>
  <si>
    <t xml:space="preserve">액션 이름</t>
  </si>
  <si>
    <t xml:space="preserve">해당 판정이 붙는 동작</t>
  </si>
  <si>
    <r>
      <rPr>
        <b val="true"/>
        <sz val="12"/>
        <rFont val="Noto Sans CJK SC"/>
        <family val="2"/>
      </rPr>
      <t xml:space="preserve">■ 진동 강도 </t>
    </r>
    <r>
      <rPr>
        <b val="true"/>
        <sz val="12"/>
        <rFont val="Arial"/>
        <family val="0"/>
        <charset val="1"/>
      </rPr>
      <t xml:space="preserve">enum (06 shake_level</t>
    </r>
    <r>
      <rPr>
        <b val="true"/>
        <sz val="12"/>
        <rFont val="Noto Sans CJK SC"/>
        <family val="2"/>
      </rPr>
      <t xml:space="preserve">의 </t>
    </r>
    <r>
      <rPr>
        <b val="true"/>
        <sz val="12"/>
        <rFont val="Arial"/>
        <family val="0"/>
        <charset val="1"/>
      </rPr>
      <t xml:space="preserve">FK </t>
    </r>
    <r>
      <rPr>
        <b val="true"/>
        <sz val="12"/>
        <rFont val="Noto Sans CJK SC"/>
        <family val="2"/>
      </rPr>
      <t xml:space="preserve">대상</t>
    </r>
    <r>
      <rPr>
        <b val="true"/>
        <sz val="12"/>
        <rFont val="Arial"/>
        <family val="0"/>
        <charset val="1"/>
      </rPr>
      <t xml:space="preserve">)</t>
    </r>
  </si>
  <si>
    <t xml:space="preserve">shake_id</t>
  </si>
  <si>
    <t xml:space="preserve">화면 셰이크</t>
  </si>
  <si>
    <t xml:space="preserve">컨트롤러 진동</t>
  </si>
  <si>
    <t xml:space="preserve">적용 상황</t>
  </si>
  <si>
    <t xml:space="preserve">없음</t>
  </si>
  <si>
    <r>
      <rPr>
        <sz val="10"/>
        <rFont val="Noto Sans CJK SC"/>
        <family val="2"/>
      </rPr>
      <t xml:space="preserve">점프 발동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다운 스트라이크 대기 신호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자원 충전 — 반복적이거나 조용한 알림</t>
    </r>
  </si>
  <si>
    <t xml:space="preserve">약</t>
  </si>
  <si>
    <t xml:space="preserve">Weak</t>
  </si>
  <si>
    <r>
      <rPr>
        <sz val="10"/>
        <rFont val="Noto Sans CJK SC"/>
        <family val="2"/>
      </rPr>
      <t xml:space="preserve">짧은 펄스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약한 단발 펄스</t>
    </r>
  </si>
  <si>
    <r>
      <rPr>
        <sz val="10"/>
        <rFont val="Noto Sans CJK SC"/>
        <family val="2"/>
      </rPr>
      <t xml:space="preserve">일반 착지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점프 밟기 타격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패링 실패 — 닿았다 수준의 최소 확인감</t>
    </r>
  </si>
  <si>
    <t xml:space="preserve">중</t>
  </si>
  <si>
    <t xml:space="preserve">Medium</t>
  </si>
  <si>
    <r>
      <rPr>
        <sz val="10"/>
        <rFont val="Noto Sans CJK SC"/>
        <family val="2"/>
      </rPr>
      <t xml:space="preserve">중간 진동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중간 단발 펄스</t>
    </r>
  </si>
  <si>
    <r>
      <rPr>
        <sz val="10"/>
        <rFont val="Noto Sans CJK SC"/>
        <family val="2"/>
      </rPr>
      <t xml:space="preserve">다운 스트라이크 발동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 피격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마스크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회복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지형 파괴 — 확실한 사건</t>
    </r>
  </si>
  <si>
    <t xml:space="preserve">강</t>
  </si>
  <si>
    <t xml:space="preserve">Strong</t>
  </si>
  <si>
    <r>
      <rPr>
        <sz val="10"/>
        <rFont val="Noto Sans CJK SC"/>
        <family val="2"/>
      </rPr>
      <t xml:space="preserve">강한 펄스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강한 단발 펄스</t>
    </r>
  </si>
  <si>
    <r>
      <rPr>
        <sz val="10"/>
        <rFont val="Noto Sans CJK SC"/>
        <family val="2"/>
      </rPr>
      <t xml:space="preserve">패링 성공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풀차지 도달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 피격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마스크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강 구간 다운 스트라이크 — 하이라이트</t>
    </r>
  </si>
  <si>
    <t xml:space="preserve">지속</t>
  </si>
  <si>
    <t xml:space="preserve">약한 지속 진동</t>
  </si>
  <si>
    <r>
      <rPr>
        <sz val="10"/>
        <rFont val="Noto Sans CJK SC"/>
        <family val="2"/>
      </rPr>
      <t xml:space="preserve">회복 차지 중</t>
    </r>
    <r>
      <rPr>
        <sz val="10"/>
        <rFont val="Arial"/>
        <family val="0"/>
        <charset val="1"/>
      </rPr>
      <t xml:space="preserve">(1.5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지금 무방비 상태라는 경계감을 손바닥으로 전달</t>
    </r>
  </si>
  <si>
    <t xml:space="preserve">■ 단위 규약</t>
  </si>
  <si>
    <t xml:space="preserve">단위</t>
  </si>
  <si>
    <t xml:space="preserve">표기</t>
  </si>
  <si>
    <t xml:space="preserve">적용</t>
  </si>
  <si>
    <t xml:space="preserve">타일</t>
  </si>
  <si>
    <r>
      <rPr>
        <sz val="10"/>
        <rFont val="Noto Sans CJK SC"/>
        <family val="2"/>
      </rPr>
      <t xml:space="preserve">소수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자리</t>
    </r>
  </si>
  <si>
    <r>
      <rPr>
        <sz val="10"/>
        <rFont val="Noto Sans CJK SC"/>
        <family val="2"/>
      </rPr>
      <t xml:space="preserve">높이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판정 크기</t>
    </r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</si>
  <si>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타일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레벨 디자인 최소 단위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캐릭터 키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타일</t>
    </r>
  </si>
  <si>
    <t xml:space="preserve">초</t>
  </si>
  <si>
    <r>
      <rPr>
        <sz val="10"/>
        <rFont val="Noto Sans CJK SC"/>
        <family val="2"/>
      </rPr>
      <t xml:space="preserve">소수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자리</t>
    </r>
  </si>
  <si>
    <r>
      <rPr>
        <sz val="10"/>
        <rFont val="Noto Sans CJK SC"/>
        <family val="2"/>
      </rPr>
      <t xml:space="preserve">차지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쿨다운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무적</t>
    </r>
  </si>
  <si>
    <r>
      <rPr>
        <sz val="10"/>
        <rFont val="Noto Sans CJK SC"/>
        <family val="2"/>
      </rPr>
      <t xml:space="preserve">프레임 병기 시 </t>
    </r>
    <r>
      <rPr>
        <sz val="10"/>
        <rFont val="Arial"/>
        <family val="0"/>
        <charset val="1"/>
      </rPr>
      <t xml:space="preserve">60fps </t>
    </r>
    <r>
      <rPr>
        <sz val="10"/>
        <rFont val="Noto Sans CJK SC"/>
        <family val="2"/>
      </rPr>
      <t xml:space="preserve">기준</t>
    </r>
  </si>
  <si>
    <t xml:space="preserve">프레임</t>
  </si>
  <si>
    <t xml:space="preserve">정수</t>
  </si>
  <si>
    <r>
      <rPr>
        <sz val="10"/>
        <rFont val="Noto Sans CJK SC"/>
        <family val="2"/>
      </rPr>
      <t xml:space="preserve">리커버리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코요테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히트스톱</t>
    </r>
  </si>
  <si>
    <r>
      <rPr>
        <sz val="10"/>
        <rFont val="Arial"/>
        <family val="0"/>
        <charset val="1"/>
      </rPr>
      <t xml:space="preserve">60fps </t>
    </r>
    <r>
      <rPr>
        <sz val="10"/>
        <rFont val="Noto Sans CJK SC"/>
        <family val="2"/>
      </rPr>
      <t xml:space="preserve">기준</t>
    </r>
  </si>
  <si>
    <r>
      <rPr>
        <sz val="10"/>
        <rFont val="Arial"/>
        <family val="0"/>
        <charset val="1"/>
      </rPr>
      <t xml:space="preserve">ATK </t>
    </r>
    <r>
      <rPr>
        <sz val="10"/>
        <rFont val="Noto Sans CJK SC"/>
        <family val="2"/>
      </rPr>
      <t xml:space="preserve">배율</t>
    </r>
  </si>
  <si>
    <r>
      <rPr>
        <sz val="10"/>
        <rFont val="Noto Sans CJK SC"/>
        <family val="2"/>
      </rPr>
      <t xml:space="preserve">소수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자리</t>
    </r>
  </si>
  <si>
    <r>
      <rPr>
        <sz val="10"/>
        <rFont val="Noto Sans CJK SC"/>
        <family val="2"/>
      </rPr>
      <t xml:space="preserve">액션 데미지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낙하 구간</t>
    </r>
  </si>
  <si>
    <r>
      <rPr>
        <sz val="10"/>
        <rFont val="Noto Sans CJK SC"/>
        <family val="2"/>
      </rPr>
      <t xml:space="preserve">실제 데미지 </t>
    </r>
    <r>
      <rPr>
        <sz val="10"/>
        <rFont val="Arial"/>
        <family val="0"/>
        <charset val="1"/>
      </rPr>
      <t xml:space="preserve">= ATK × </t>
    </r>
    <r>
      <rPr>
        <sz val="10"/>
        <rFont val="Noto Sans CJK SC"/>
        <family val="2"/>
      </rPr>
      <t xml:space="preserve">배율</t>
    </r>
    <r>
      <rPr>
        <sz val="10"/>
        <rFont val="Arial"/>
        <family val="0"/>
        <charset val="1"/>
      </rPr>
      <t xml:space="preserve">. ATK</t>
    </r>
    <r>
      <rPr>
        <sz val="10"/>
        <rFont val="Noto Sans CJK SC"/>
        <family val="2"/>
      </rPr>
      <t xml:space="preserve">는 강화 단계별 </t>
    </r>
    <r>
      <rPr>
        <sz val="10"/>
        <rFont val="Arial"/>
        <family val="0"/>
        <charset val="1"/>
      </rPr>
      <t xml:space="preserve">02 </t>
    </r>
    <r>
      <rPr>
        <sz val="10"/>
        <rFont val="Noto Sans CJK SC"/>
        <family val="2"/>
      </rPr>
      <t xml:space="preserve">참조</t>
    </r>
  </si>
  <si>
    <t xml:space="preserve">해당 없음</t>
  </si>
  <si>
    <t xml:space="preserve">그 행에 성립하지 않는 칸</t>
  </si>
  <si>
    <t xml:space="preserve">「미정」</t>
  </si>
  <si>
    <t xml:space="preserve">기획서가 미확정이라 명시한 값</t>
  </si>
  <si>
    <t xml:space="preserve">임의로 채우지 않음</t>
  </si>
  <si>
    <t xml:space="preserve">■ 검증 — 수식이 자동 판정하는 곳</t>
  </si>
  <si>
    <t xml:space="preserve">위치</t>
  </si>
  <si>
    <t xml:space="preserve">검증 내용</t>
  </si>
  <si>
    <t xml:space="preserve">방식</t>
  </si>
  <si>
    <r>
      <rPr>
        <sz val="10"/>
        <rFont val="Arial"/>
        <family val="0"/>
        <charset val="1"/>
      </rPr>
      <t xml:space="preserve">01_JumpStage K·L</t>
    </r>
    <r>
      <rPr>
        <sz val="10"/>
        <rFont val="Noto Sans CJK SC"/>
        <family val="2"/>
      </rPr>
      <t xml:space="preserve">열</t>
    </r>
  </si>
  <si>
    <r>
      <rPr>
        <sz val="10"/>
        <rFont val="Noto Sans CJK SC"/>
        <family val="2"/>
      </rPr>
      <t xml:space="preserve">머리 최고 </t>
    </r>
    <r>
      <rPr>
        <sz val="10"/>
        <rFont val="Arial"/>
        <family val="0"/>
        <charset val="1"/>
      </rPr>
      <t xml:space="preserve">= 2 + </t>
    </r>
    <r>
      <rPr>
        <sz val="10"/>
        <rFont val="Noto Sans CJK SC"/>
        <family val="2"/>
      </rPr>
      <t xml:space="preserve">발 도달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8.1 </t>
    </r>
    <r>
      <rPr>
        <sz val="10"/>
        <rFont val="Noto Sans CJK SC"/>
        <family val="2"/>
      </rPr>
      <t xml:space="preserve">식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필요 천장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올림</t>
    </r>
  </si>
  <si>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=2+J → =ROUNDUP(K,0). </t>
    </r>
    <r>
      <rPr>
        <sz val="10"/>
        <rFont val="Noto Sans CJK SC"/>
        <family val="2"/>
      </rPr>
      <t xml:space="preserve">문서 원값과 대조해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열에 </t>
    </r>
    <r>
      <rPr>
        <sz val="10"/>
        <rFont val="Arial"/>
        <family val="0"/>
        <charset val="1"/>
      </rPr>
      <t xml:space="preserve">OK/</t>
    </r>
    <r>
      <rPr>
        <sz val="10"/>
        <rFont val="Noto Sans CJK SC"/>
        <family val="2"/>
      </rPr>
      <t xml:space="preserve">불일치</t>
    </r>
  </si>
  <si>
    <r>
      <rPr>
        <sz val="10"/>
        <rFont val="Arial"/>
        <family val="0"/>
        <charset val="1"/>
      </rPr>
      <t xml:space="preserve">01_JumpStage P</t>
    </r>
    <r>
      <rPr>
        <sz val="10"/>
        <rFont val="Noto Sans CJK SC"/>
        <family val="2"/>
      </rPr>
      <t xml:space="preserve">열</t>
    </r>
  </si>
  <si>
    <r>
      <rPr>
        <sz val="10"/>
        <rFont val="Noto Sans CJK SC"/>
        <family val="2"/>
      </rPr>
      <t xml:space="preserve">실효 속도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최대 수평 이동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사이클 시간</t>
    </r>
  </si>
  <si>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=ROUND(H/O,2). </t>
    </r>
    <r>
      <rPr>
        <sz val="10"/>
        <rFont val="Noto Sans CJK SC"/>
        <family val="2"/>
      </rPr>
      <t xml:space="preserve">문서 원값과 </t>
    </r>
    <r>
      <rPr>
        <sz val="10"/>
        <rFont val="Arial"/>
        <family val="0"/>
        <charset val="1"/>
      </rPr>
      <t xml:space="preserve">±0.01 </t>
    </r>
    <r>
      <rPr>
        <sz val="10"/>
        <rFont val="Noto Sans CJK SC"/>
        <family val="2"/>
      </rPr>
      <t xml:space="preserve">이내면 </t>
    </r>
    <r>
      <rPr>
        <sz val="10"/>
        <rFont val="Arial"/>
        <family val="0"/>
        <charset val="1"/>
      </rPr>
      <t xml:space="preserve">OK</t>
    </r>
  </si>
  <si>
    <r>
      <rPr>
        <sz val="10"/>
        <rFont val="Arial"/>
        <family val="0"/>
        <charset val="1"/>
      </rPr>
      <t xml:space="preserve">07_LevelRule G·H</t>
    </r>
    <r>
      <rPr>
        <sz val="10"/>
        <rFont val="Noto Sans CJK SC"/>
        <family val="2"/>
      </rPr>
      <t xml:space="preserve">열</t>
    </r>
  </si>
  <si>
    <t xml:space="preserve">구간 최대 발판 높이 ≤ 허용 점프 단계의 도달 높이</t>
  </si>
  <si>
    <r>
      <rPr>
        <sz val="10"/>
        <rFont val="Arial"/>
        <family val="0"/>
        <charset val="1"/>
      </rPr>
      <t xml:space="preserve">INDEX/MATCH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에서 끌어와 비교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여유 타일 수까지 표시</t>
    </r>
  </si>
  <si>
    <r>
      <rPr>
        <sz val="10"/>
        <rFont val="Arial"/>
        <family val="0"/>
        <charset val="1"/>
      </rPr>
      <t xml:space="preserve">07_LevelRule J·K</t>
    </r>
    <r>
      <rPr>
        <sz val="10"/>
        <rFont val="Noto Sans CJK SC"/>
        <family val="2"/>
      </rPr>
      <t xml:space="preserve">열</t>
    </r>
  </si>
  <si>
    <t xml:space="preserve">구간 최대 갭 폭 ≤ 허용 점프 단계의 권장 갭</t>
  </si>
  <si>
    <t xml:space="preserve">같은 방식</t>
  </si>
  <si>
    <r>
      <rPr>
        <b val="true"/>
        <sz val="12"/>
        <rFont val="Noto Sans CJK SC"/>
        <family val="2"/>
      </rPr>
      <t xml:space="preserve">■ 어긋남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검토 필요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값은 고치지 않고 목록만 — 판단은 작성자</t>
    </r>
    <r>
      <rPr>
        <b val="true"/>
        <sz val="12"/>
        <rFont val="Arial"/>
        <family val="0"/>
        <charset val="1"/>
      </rPr>
      <t xml:space="preserve">)</t>
    </r>
  </si>
  <si>
    <t xml:space="preserve">번호</t>
  </si>
  <si>
    <t xml:space="preserve">무엇이 어긋나나</t>
  </si>
  <si>
    <t xml:space="preserve">확인할 것</t>
  </si>
  <si>
    <t xml:space="preserve">1</t>
  </si>
  <si>
    <r>
      <rPr>
        <sz val="10"/>
        <rFont val="Arial"/>
        <family val="0"/>
        <charset val="1"/>
      </rPr>
      <t xml:space="preserve">8.9 </t>
    </r>
    <r>
      <rPr>
        <sz val="10"/>
        <rFont val="Noto Sans CJK SC"/>
        <family val="2"/>
      </rPr>
      <t xml:space="preserve">천장 유형표</t>
    </r>
  </si>
  <si>
    <r>
      <rPr>
        <sz val="10"/>
        <rFont val="Arial"/>
        <family val="0"/>
        <charset val="1"/>
      </rPr>
      <t xml:space="preserve">'8</t>
    </r>
    <r>
      <rPr>
        <sz val="10"/>
        <rFont val="Noto Sans CJK SC"/>
        <family val="2"/>
      </rPr>
      <t xml:space="preserve">칸 이상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 이상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인데 차지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단의 필요 천장은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칸입니다</t>
    </r>
    <r>
      <rPr>
        <sz val="10"/>
        <rFont val="Arial"/>
        <family val="0"/>
        <charset val="1"/>
      </rPr>
      <t xml:space="preserve">. 8</t>
    </r>
    <r>
      <rPr>
        <sz val="10"/>
        <rFont val="Noto Sans CJK SC"/>
        <family val="2"/>
      </rPr>
      <t xml:space="preserve">칸 대역에서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단은 온전히 못 씁니다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</si>
  <si>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대역을 </t>
    </r>
    <r>
      <rPr>
        <sz val="10"/>
        <rFont val="Arial"/>
        <family val="0"/>
        <charset val="1"/>
      </rPr>
      <t xml:space="preserve">'8~9</t>
    </r>
    <r>
      <rPr>
        <sz val="10"/>
        <rFont val="Noto Sans CJK SC"/>
        <family val="2"/>
      </rPr>
      <t xml:space="preserve">칸 </t>
    </r>
    <r>
      <rPr>
        <sz val="10"/>
        <rFont val="Arial"/>
        <family val="0"/>
        <charset val="1"/>
      </rPr>
      <t xml:space="preserve">= 2</t>
    </r>
    <r>
      <rPr>
        <sz val="10"/>
        <rFont val="Noto Sans CJK SC"/>
        <family val="2"/>
      </rPr>
      <t xml:space="preserve">단 </t>
    </r>
    <r>
      <rPr>
        <sz val="10"/>
        <rFont val="Arial"/>
        <family val="0"/>
        <charset val="1"/>
      </rPr>
      <t xml:space="preserve">/ 10</t>
    </r>
    <r>
      <rPr>
        <sz val="10"/>
        <rFont val="Noto Sans CJK SC"/>
        <family val="2"/>
      </rPr>
      <t xml:space="preserve">칸 이상 </t>
    </r>
    <r>
      <rPr>
        <sz val="10"/>
        <rFont val="Arial"/>
        <family val="0"/>
        <charset val="1"/>
      </rPr>
      <t xml:space="preserve">= 3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쪼갤지</t>
    </r>
  </si>
  <si>
    <t xml:space="preserve">2</t>
  </si>
  <si>
    <r>
      <rPr>
        <sz val="10"/>
        <rFont val="Arial"/>
        <family val="0"/>
        <charset val="1"/>
      </rPr>
      <t xml:space="preserve">8.1 </t>
    </r>
    <r>
      <rPr>
        <sz val="10"/>
        <rFont val="Noto Sans CJK SC"/>
        <family val="2"/>
      </rPr>
      <t xml:space="preserve">단차→필요 능력</t>
    </r>
  </si>
  <si>
    <r>
      <rPr>
        <sz val="10"/>
        <rFont val="Arial"/>
        <family val="0"/>
        <charset val="1"/>
      </rPr>
      <t xml:space="preserve">'6~7 </t>
    </r>
    <r>
      <rPr>
        <sz val="10"/>
        <rFont val="Noto Sans CJK SC"/>
        <family val="2"/>
      </rPr>
      <t xml:space="preserve">타일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인데 차지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 도달이 </t>
    </r>
    <r>
      <rPr>
        <sz val="10"/>
        <rFont val="Arial"/>
        <family val="0"/>
        <charset val="1"/>
      </rPr>
      <t xml:space="preserve">6.0 </t>
    </r>
    <r>
      <rPr>
        <sz val="10"/>
        <rFont val="Noto Sans CJK SC"/>
        <family val="2"/>
      </rPr>
      <t xml:space="preserve">타일이라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타일 단차는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단으로도 성립합니다</t>
    </r>
    <r>
      <rPr>
        <sz val="10"/>
        <rFont val="Arial"/>
        <family val="0"/>
        <charset val="1"/>
      </rPr>
      <t xml:space="preserve">.</t>
    </r>
  </si>
  <si>
    <t xml:space="preserve">안전 마진을 얹은 것이면 그 마진 값이 문서에 없습니다</t>
  </si>
  <si>
    <t xml:space="preserve">3</t>
  </si>
  <si>
    <r>
      <rPr>
        <sz val="10"/>
        <rFont val="Arial"/>
        <family val="0"/>
        <charset val="1"/>
      </rPr>
      <t xml:space="preserve">8.7 </t>
    </r>
    <r>
      <rPr>
        <sz val="10"/>
        <rFont val="Noto Sans CJK SC"/>
        <family val="2"/>
      </rPr>
      <t xml:space="preserve">숨겨진 경로</t>
    </r>
  </si>
  <si>
    <r>
      <rPr>
        <sz val="10"/>
        <rFont val="Noto Sans CJK SC"/>
        <family val="2"/>
      </rPr>
      <t xml:space="preserve">다른 구간의 최대 발판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갭은 상한인데 이 행만 </t>
    </r>
    <r>
      <rPr>
        <sz val="10"/>
        <rFont val="Arial"/>
        <family val="0"/>
        <charset val="1"/>
      </rPr>
      <t xml:space="preserve">'7.75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/ 6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하한입니다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칼럼에 상한과 하한이 섞여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</si>
  <si>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칼럼을 </t>
    </r>
    <r>
      <rPr>
        <sz val="10"/>
        <rFont val="Arial"/>
        <family val="0"/>
        <charset val="1"/>
      </rPr>
      <t xml:space="preserve">min/max</t>
    </r>
    <r>
      <rPr>
        <sz val="10"/>
        <rFont val="Noto Sans CJK SC"/>
        <family val="2"/>
      </rPr>
      <t xml:space="preserve">로 나눌지</t>
    </r>
  </si>
  <si>
    <t xml:space="preserve">4</t>
  </si>
  <si>
    <r>
      <rPr>
        <sz val="10"/>
        <rFont val="Arial"/>
        <family val="0"/>
        <charset val="1"/>
      </rPr>
      <t xml:space="preserve">8.7 </t>
    </r>
    <r>
      <rPr>
        <sz val="10"/>
        <rFont val="Noto Sans CJK SC"/>
        <family val="2"/>
      </rPr>
      <t xml:space="preserve">중반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후반</t>
    </r>
  </si>
  <si>
    <r>
      <rPr>
        <sz val="10"/>
        <rFont val="Noto Sans CJK SC"/>
        <family val="2"/>
      </rPr>
      <t xml:space="preserve">최대 발판 </t>
    </r>
    <r>
      <rPr>
        <sz val="10"/>
        <rFont val="Arial"/>
        <family val="0"/>
        <charset val="1"/>
      </rPr>
      <t xml:space="preserve">5.75 / 7.5</t>
    </r>
    <r>
      <rPr>
        <sz val="10"/>
        <rFont val="Noto Sans CJK SC"/>
        <family val="2"/>
      </rPr>
      <t xml:space="preserve">가 도달 높이 </t>
    </r>
    <r>
      <rPr>
        <sz val="10"/>
        <rFont val="Arial"/>
        <family val="0"/>
        <charset val="1"/>
      </rPr>
      <t xml:space="preserve">6.0 / 7.75</t>
    </r>
    <r>
      <rPr>
        <sz val="10"/>
        <rFont val="Noto Sans CJK SC"/>
        <family val="2"/>
      </rPr>
      <t xml:space="preserve">에 여유 </t>
    </r>
    <r>
      <rPr>
        <sz val="10"/>
        <rFont val="Arial"/>
        <family val="0"/>
        <charset val="1"/>
      </rPr>
      <t xml:space="preserve">0.25 </t>
    </r>
    <r>
      <rPr>
        <sz val="10"/>
        <rFont val="Noto Sans CJK SC"/>
        <family val="2"/>
      </rPr>
      <t xml:space="preserve">타일로 붙어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</si>
  <si>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의도한 여유인지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조정 폭이 필요한지</t>
    </r>
  </si>
  <si>
    <t xml:space="preserve">5</t>
  </si>
  <si>
    <r>
      <rPr>
        <sz val="10"/>
        <rFont val="Arial"/>
        <family val="0"/>
        <charset val="1"/>
      </rPr>
      <t xml:space="preserve">8.7 </t>
    </r>
    <r>
      <rPr>
        <sz val="10"/>
        <rFont val="Noto Sans CJK SC"/>
        <family val="2"/>
      </rPr>
      <t xml:space="preserve">돌진 이후</t>
    </r>
  </si>
  <si>
    <r>
      <rPr>
        <sz val="10"/>
        <rFont val="Noto Sans CJK SC"/>
        <family val="2"/>
      </rPr>
      <t xml:space="preserve">최대 갭 폭이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갭 밴드 별도 적용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값이 없습니다</t>
    </r>
    <r>
      <rPr>
        <sz val="10"/>
        <rFont val="Arial"/>
        <family val="0"/>
        <charset val="1"/>
      </rPr>
      <t xml:space="preserve">.</t>
    </r>
  </si>
  <si>
    <t xml:space="preserve">돌진 기준 갭 밴드 값</t>
  </si>
  <si>
    <t xml:space="preserve">6</t>
  </si>
  <si>
    <r>
      <rPr>
        <sz val="10"/>
        <rFont val="Arial"/>
        <family val="0"/>
        <charset val="1"/>
      </rPr>
      <t xml:space="preserve">6.9 </t>
    </r>
    <r>
      <rPr>
        <sz val="10"/>
        <rFont val="Noto Sans CJK SC"/>
        <family val="2"/>
      </rPr>
      <t xml:space="preserve">패링 수용 박스</t>
    </r>
  </si>
  <si>
    <r>
      <rPr>
        <sz val="10"/>
        <rFont val="Noto Sans CJK SC"/>
        <family val="2"/>
      </rPr>
      <t xml:space="preserve">반경 치수가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실측 후 결정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미정입니다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명시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</si>
  <si>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실측 후 </t>
    </r>
    <r>
      <rPr>
        <sz val="10"/>
        <rFont val="Arial"/>
        <family val="0"/>
        <charset val="1"/>
      </rPr>
      <t xml:space="preserve">03 </t>
    </r>
    <r>
      <rPr>
        <sz val="10"/>
        <rFont val="Noto Sans CJK SC"/>
        <family val="2"/>
      </rPr>
      <t xml:space="preserve">시트에 기입</t>
    </r>
  </si>
  <si>
    <t xml:space="preserve">7</t>
  </si>
  <si>
    <r>
      <rPr>
        <sz val="10"/>
        <rFont val="Arial"/>
        <family val="0"/>
        <charset val="1"/>
      </rPr>
      <t xml:space="preserve">7.3 </t>
    </r>
    <r>
      <rPr>
        <sz val="10"/>
        <rFont val="Noto Sans CJK SC"/>
        <family val="2"/>
      </rPr>
      <t xml:space="preserve">삽 돌진</t>
    </r>
  </si>
  <si>
    <r>
      <rPr>
        <sz val="10"/>
        <rFont val="Noto Sans CJK SC"/>
        <family val="2"/>
      </rPr>
      <t xml:space="preserve">발동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명중의 </t>
    </r>
    <r>
      <rPr>
        <sz val="10"/>
        <rFont val="Arial"/>
        <family val="0"/>
        <charset val="1"/>
      </rPr>
      <t xml:space="preserve">SFX·VFX·</t>
    </r>
    <r>
      <rPr>
        <sz val="10"/>
        <rFont val="Noto Sans CJK SC"/>
        <family val="2"/>
      </rPr>
      <t xml:space="preserve">컨트롤러 진동이 미정입니다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명시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</si>
  <si>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fx </t>
    </r>
    <r>
      <rPr>
        <sz val="10"/>
        <rFont val="Noto Sans CJK SC"/>
        <family val="2"/>
      </rPr>
      <t xml:space="preserve">라벨 등록 후 </t>
    </r>
    <r>
      <rPr>
        <sz val="10"/>
        <rFont val="Arial"/>
        <family val="0"/>
        <charset val="1"/>
      </rPr>
      <t xml:space="preserve">06 </t>
    </r>
    <r>
      <rPr>
        <sz val="10"/>
        <rFont val="Noto Sans CJK SC"/>
        <family val="2"/>
      </rPr>
      <t xml:space="preserve">시트에 기입</t>
    </r>
  </si>
  <si>
    <t xml:space="preserve">8</t>
  </si>
  <si>
    <r>
      <rPr>
        <sz val="10"/>
        <rFont val="Arial"/>
        <family val="0"/>
        <charset val="1"/>
      </rPr>
      <t xml:space="preserve">6.9 · 6.5 </t>
    </r>
    <r>
      <rPr>
        <sz val="10"/>
        <rFont val="Noto Sans CJK SC"/>
        <family val="2"/>
      </rPr>
      <t xml:space="preserve">다운 스트라이크 판정 크기</t>
    </r>
  </si>
  <si>
    <r>
      <rPr>
        <sz val="10"/>
        <rFont val="Noto Sans CJK SC"/>
        <family val="2"/>
      </rPr>
      <t xml:space="preserve">같은 값이 문서 안에서 두 갈래입니다 — </t>
    </r>
    <r>
      <rPr>
        <sz val="10"/>
        <rFont val="Arial"/>
        <family val="0"/>
        <charset val="1"/>
      </rPr>
      <t xml:space="preserve">6.9 </t>
    </r>
    <r>
      <rPr>
        <sz val="10"/>
        <rFont val="Noto Sans CJK SC"/>
        <family val="2"/>
      </rPr>
      <t xml:space="preserve">본 행은 폭 </t>
    </r>
    <r>
      <rPr>
        <sz val="10"/>
        <rFont val="Arial"/>
        <family val="0"/>
        <charset val="1"/>
      </rPr>
      <t xml:space="preserve">0.8 × </t>
    </r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0.5, 6.9 </t>
    </r>
    <r>
      <rPr>
        <sz val="10"/>
        <rFont val="Noto Sans CJK SC"/>
        <family val="2"/>
      </rPr>
      <t xml:space="preserve">점프 밟기 비고와 </t>
    </r>
    <r>
      <rPr>
        <sz val="10"/>
        <rFont val="Arial"/>
        <family val="0"/>
        <charset val="1"/>
      </rPr>
      <t xml:space="preserve">6.5 </t>
    </r>
    <r>
      <rPr>
        <sz val="10"/>
        <rFont val="Noto Sans CJK SC"/>
        <family val="2"/>
      </rPr>
      <t xml:space="preserve">판정 영역 설명은 </t>
    </r>
    <r>
      <rPr>
        <sz val="10"/>
        <rFont val="Arial"/>
        <family val="0"/>
        <charset val="1"/>
      </rPr>
      <t xml:space="preserve">1.0 × 0.5. </t>
    </r>
    <r>
      <rPr>
        <sz val="10"/>
        <rFont val="Noto Sans CJK SC"/>
        <family val="2"/>
      </rPr>
      <t xml:space="preserve">시트는 두 표기를 원문 그대로 두었습니다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</si>
  <si>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어느 쪽이 정본인지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확정 후 </t>
    </r>
    <r>
      <rPr>
        <sz val="10"/>
        <rFont val="Arial"/>
        <family val="0"/>
        <charset val="1"/>
      </rPr>
      <t xml:space="preserve">03 </t>
    </r>
    <r>
      <rPr>
        <sz val="10"/>
        <rFont val="Noto Sans CJK SC"/>
        <family val="2"/>
      </rPr>
      <t xml:space="preserve">시트와 노션 양쪽을 한 값으로 통일</t>
    </r>
  </si>
  <si>
    <t xml:space="preserve">9</t>
  </si>
  <si>
    <r>
      <rPr>
        <sz val="10"/>
        <rFont val="Arial"/>
        <family val="0"/>
        <charset val="1"/>
      </rPr>
      <t xml:space="preserve">5.3 · 6.4.3 · 6.6.1 (08 </t>
    </r>
    <r>
      <rPr>
        <sz val="10"/>
        <rFont val="Noto Sans CJK SC"/>
        <family val="2"/>
      </rPr>
      <t xml:space="preserve">시트가 드러낸 것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</si>
  <si>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강 구간 다운 스트라이크</t>
    </r>
    <r>
      <rPr>
        <sz val="10"/>
        <rFont val="Arial"/>
        <family val="0"/>
        <charset val="1"/>
      </rPr>
      <t xml:space="preserve">(ATK×1.6)</t>
    </r>
    <r>
      <rPr>
        <sz val="10"/>
        <rFont val="Noto Sans CJK SC"/>
        <family val="2"/>
      </rPr>
      <t xml:space="preserve">와 삽 돌진</t>
    </r>
    <r>
      <rPr>
        <sz val="10"/>
        <rFont val="Arial"/>
        <family val="0"/>
        <charset val="1"/>
      </rPr>
      <t xml:space="preserve">(ATK×1.5)</t>
    </r>
    <r>
      <rPr>
        <sz val="10"/>
        <rFont val="Noto Sans CJK SC"/>
        <family val="2"/>
      </rPr>
      <t xml:space="preserve">의 간격이 </t>
    </r>
    <r>
      <rPr>
        <sz val="10"/>
        <rFont val="Arial"/>
        <family val="0"/>
        <charset val="1"/>
      </rPr>
      <t xml:space="preserve">6.7%</t>
    </r>
    <r>
      <rPr>
        <sz val="10"/>
        <rFont val="Noto Sans CJK SC"/>
        <family val="2"/>
      </rPr>
      <t xml:space="preserve">뿐입니다</t>
    </r>
    <r>
      <rPr>
        <sz val="10"/>
        <rFont val="Arial"/>
        <family val="0"/>
        <charset val="1"/>
      </rPr>
      <t xml:space="preserve">. 3</t>
    </r>
    <r>
      <rPr>
        <sz val="10"/>
        <rFont val="Noto Sans CJK SC"/>
        <family val="2"/>
      </rPr>
      <t xml:space="preserve">강 기준 </t>
    </r>
    <r>
      <rPr>
        <sz val="10"/>
        <rFont val="Arial"/>
        <family val="0"/>
        <charset val="1"/>
      </rPr>
      <t xml:space="preserve">28.8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27. </t>
    </r>
    <r>
      <rPr>
        <sz val="10"/>
        <rFont val="Noto Sans CJK SC"/>
        <family val="2"/>
      </rPr>
      <t xml:space="preserve">높이를 벌어 내리꽂는 행동과 쿨다운 </t>
    </r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초 횡 이동기가 사실상 같은 값입니다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</si>
  <si>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위계를 벌릴지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의도한 대등함인지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배율을 고치면 </t>
    </r>
    <r>
      <rPr>
        <sz val="10"/>
        <rFont val="Arial"/>
        <family val="0"/>
        <charset val="1"/>
      </rPr>
      <t xml:space="preserve">08</t>
    </r>
    <r>
      <rPr>
        <sz val="10"/>
        <rFont val="Noto Sans CJK SC"/>
        <family val="2"/>
      </rPr>
      <t xml:space="preserve">이 자동으로 다시 계산됩니다</t>
    </r>
  </si>
  <si>
    <r>
      <rPr>
        <b val="true"/>
        <sz val="12"/>
        <rFont val="Arial"/>
        <family val="0"/>
        <charset val="1"/>
      </rPr>
      <t xml:space="preserve">01. </t>
    </r>
    <r>
      <rPr>
        <b val="true"/>
        <sz val="12"/>
        <rFont val="Noto Sans CJK SC"/>
        <family val="2"/>
      </rPr>
      <t xml:space="preserve">점프 단계 — 마스터 테이블 </t>
    </r>
    <r>
      <rPr>
        <b val="true"/>
        <sz val="12"/>
        <rFont val="Arial"/>
        <family val="0"/>
        <charset val="1"/>
      </rPr>
      <t xml:space="preserve">(PK)</t>
    </r>
  </si>
  <si>
    <t xml:space="preserve">jump_stage_id (PK)</t>
  </si>
  <si>
    <t xml:space="preserve">label</t>
  </si>
  <si>
    <t xml:space="preserve">stage_type</t>
  </si>
  <si>
    <t xml:space="preserve">charge_time_sec</t>
  </si>
  <si>
    <t xml:space="preserve">apex_height_tile</t>
  </si>
  <si>
    <t xml:space="preserve">hang_time_sec</t>
  </si>
  <si>
    <t xml:space="preserve">air_time_sec</t>
  </si>
  <si>
    <t xml:space="preserve">max_horizontal_tile</t>
  </si>
  <si>
    <t xml:space="preserve">recommended_gap_tile</t>
  </si>
  <si>
    <t xml:space="preserve">foot_reach_J</t>
  </si>
  <si>
    <t xml:space="preserve">head_top_calc</t>
  </si>
  <si>
    <t xml:space="preserve">ceiling_req_calc</t>
  </si>
  <si>
    <t xml:space="preserve">ceiling_req_doc</t>
  </si>
  <si>
    <t xml:space="preserve">ceiling_check</t>
  </si>
  <si>
    <t xml:space="preserve">cycle_time_sec</t>
  </si>
  <si>
    <t xml:space="preserve">eff_speed_calc</t>
  </si>
  <si>
    <t xml:space="preserve">eff_speed_doc</t>
  </si>
  <si>
    <t xml:space="preserve">speed_check</t>
  </si>
  <si>
    <t xml:space="preserve">feedback_color</t>
  </si>
  <si>
    <t xml:space="preserve">block_ref</t>
  </si>
  <si>
    <t xml:space="preserve">rationale</t>
  </si>
  <si>
    <t xml:space="preserve">jump_charge0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</si>
  <si>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단 탭</t>
    </r>
  </si>
  <si>
    <t xml:space="preserve">charge</t>
  </si>
  <si>
    <t xml:space="preserve">기본</t>
  </si>
  <si>
    <r>
      <rPr>
        <sz val="10"/>
        <rFont val="Noto Sans CJK SC"/>
        <family val="2"/>
      </rPr>
      <t xml:space="preserve">소형 블록 </t>
    </r>
    <r>
      <rPr>
        <sz val="10"/>
        <rFont val="Arial"/>
        <family val="0"/>
        <charset val="1"/>
      </rPr>
      <t xml:space="preserve">(1×1)</t>
    </r>
  </si>
  <si>
    <r>
      <rPr>
        <sz val="10"/>
        <rFont val="Noto Sans CJK SC"/>
        <family val="2"/>
      </rPr>
      <t xml:space="preserve">차지 없이 나가는 기본 도약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착지 리커버리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프레임과 짝이라 통통 튀는 리듬의 기준 단계</t>
    </r>
  </si>
  <si>
    <t xml:space="preserve">jump_charge1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</si>
  <si>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</t>
    </r>
  </si>
  <si>
    <t xml:space="preserve">흰빛</t>
  </si>
  <si>
    <r>
      <rPr>
        <sz val="10"/>
        <rFont val="Noto Sans CJK SC"/>
        <family val="2"/>
      </rPr>
      <t xml:space="preserve">중형 블록 </t>
    </r>
    <r>
      <rPr>
        <sz val="10"/>
        <rFont val="Arial"/>
        <family val="0"/>
        <charset val="1"/>
      </rPr>
      <t xml:space="preserve">(2×2)</t>
    </r>
  </si>
  <si>
    <r>
      <rPr>
        <sz val="10"/>
        <rFont val="Noto Sans CJK SC"/>
        <family val="2"/>
      </rPr>
      <t xml:space="preserve">차지 유도 단계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색으로 단계를 구분해 지금 몇 단인지 눈으로 잡게 함</t>
    </r>
  </si>
  <si>
    <t xml:space="preserve">jump_charge2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</si>
  <si>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</t>
    </r>
  </si>
  <si>
    <t xml:space="preserve">푸른빛</t>
  </si>
  <si>
    <r>
      <rPr>
        <sz val="10"/>
        <rFont val="Noto Sans CJK SC"/>
        <family val="2"/>
      </rPr>
      <t xml:space="preserve">대형 블록 </t>
    </r>
    <r>
      <rPr>
        <sz val="10"/>
        <rFont val="Arial"/>
        <family val="0"/>
        <charset val="1"/>
      </rPr>
      <t xml:space="preserve">(3×3)</t>
    </r>
  </si>
  <si>
    <r>
      <rPr>
        <sz val="10"/>
        <rFont val="Noto Sans CJK SC"/>
        <family val="2"/>
      </rPr>
      <t xml:space="preserve">중반 구간의 선택지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높이를 얻는 대신 사이클이 길어져 단계 선택 전략이 생김</t>
    </r>
  </si>
  <si>
    <t xml:space="preserve">jump_charge3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</si>
  <si>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풀</t>
    </r>
    <r>
      <rPr>
        <sz val="10"/>
        <rFont val="Arial"/>
        <family val="0"/>
        <charset val="1"/>
      </rPr>
      <t xml:space="preserve">)</t>
    </r>
  </si>
  <si>
    <t xml:space="preserve">금빛 번쩍</t>
  </si>
  <si>
    <r>
      <rPr>
        <sz val="10"/>
        <rFont val="Noto Sans CJK SC"/>
        <family val="2"/>
      </rPr>
      <t xml:space="preserve">특대형 블록 </t>
    </r>
    <r>
      <rPr>
        <sz val="10"/>
        <rFont val="Arial"/>
        <family val="0"/>
        <charset val="1"/>
      </rPr>
      <t xml:space="preserve">(4×4)</t>
    </r>
  </si>
  <si>
    <r>
      <rPr>
        <sz val="10"/>
        <rFont val="Noto Sans CJK SC"/>
        <family val="2"/>
      </rPr>
      <t xml:space="preserve">최고 단계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 타임이 </t>
    </r>
    <r>
      <rPr>
        <sz val="10"/>
        <rFont val="Arial"/>
        <family val="0"/>
        <charset val="1"/>
      </rPr>
      <t xml:space="preserve">0.042</t>
    </r>
    <r>
      <rPr>
        <sz val="10"/>
        <rFont val="Noto Sans CJK SC"/>
        <family val="2"/>
      </rPr>
      <t xml:space="preserve">초로 가장 짧아 높이를 얻은 만큼 정점 여유를 잃음</t>
    </r>
  </si>
  <si>
    <t xml:space="preserve">jump_double</t>
  </si>
  <si>
    <t xml:space="preserve">더블 점프</t>
  </si>
  <si>
    <t xml:space="preserve">air_extra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</si>
  <si>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단 탭 기준 </t>
    </r>
    <r>
      <rPr>
        <sz val="10"/>
        <rFont val="Arial"/>
        <family val="0"/>
        <charset val="1"/>
      </rPr>
      <t xml:space="preserve">+2.25 </t>
    </r>
    <r>
      <rPr>
        <sz val="10"/>
        <rFont val="Noto Sans CJK SC"/>
        <family val="2"/>
      </rPr>
      <t xml:space="preserve">타일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기본의 </t>
    </r>
    <r>
      <rPr>
        <sz val="10"/>
        <rFont val="Arial"/>
        <family val="0"/>
        <charset val="1"/>
      </rPr>
      <t xml:space="preserve">90%). </t>
    </r>
    <r>
      <rPr>
        <sz val="10"/>
        <rFont val="Noto Sans CJK SC"/>
        <family val="2"/>
      </rPr>
      <t xml:space="preserve">공중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지면 착지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오브젝트 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패링 반동으로만 카운트 리셋</t>
    </r>
  </si>
  <si>
    <t xml:space="preserve">jump_object</t>
  </si>
  <si>
    <t xml:space="preserve">오브젝트 점프</t>
  </si>
  <si>
    <r>
      <rPr>
        <sz val="10"/>
        <rFont val="Noto Sans CJK SC"/>
        <family val="2"/>
      </rPr>
      <t xml:space="preserve">기본 높이의 </t>
    </r>
    <r>
      <rPr>
        <sz val="10"/>
        <rFont val="Arial"/>
        <family val="0"/>
        <charset val="1"/>
      </rPr>
      <t xml:space="preserve">120%. </t>
    </r>
    <r>
      <rPr>
        <sz val="10"/>
        <rFont val="Noto Sans CJK SC"/>
        <family val="2"/>
      </rPr>
      <t xml:space="preserve">지정 오브젝트에 다운 스트라이크 적중 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고도 제한 없고 연속 사용해도 높이가 줄지 않음</t>
    </r>
  </si>
  <si>
    <t xml:space="preserve">jump_ds_bounce</t>
  </si>
  <si>
    <t xml:space="preserve">다운 스트라이크 바운스</t>
  </si>
  <si>
    <r>
      <rPr>
        <sz val="10"/>
        <rFont val="Noto Sans CJK SC"/>
        <family val="2"/>
      </rPr>
      <t xml:space="preserve">바운스 속도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/s. </t>
    </r>
    <r>
      <rPr>
        <sz val="10"/>
        <rFont val="Noto Sans CJK SC"/>
        <family val="2"/>
      </rPr>
      <t xml:space="preserve">적 타격 후 재도약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자체가 이미 보상이라 더블 점프 카운트는 리셋하지 않음</t>
    </r>
  </si>
  <si>
    <t xml:space="preserve">jump_parry_recoil</t>
  </si>
  <si>
    <t xml:space="preserve">패링 반동</t>
  </si>
  <si>
    <r>
      <rPr>
        <sz val="10"/>
        <rFont val="Noto Sans CJK SC"/>
        <family val="2"/>
      </rPr>
      <t xml:space="preserve">상승 속도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</t>
    </r>
    <r>
      <rPr>
        <sz val="10"/>
        <rFont val="Noto Sans CJK SC"/>
        <family val="2"/>
      </rPr>
      <t xml:space="preserve">로 기본 점프와 같은 높이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플레이어가 만들어 낸 재도약이라 카운트를 리셋해 보상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</si>
  <si>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6.2.1·6.3·6.3.1·6.4.1·6.4.2·8.3·8.5·8.6·8.9. </t>
    </r>
    <r>
      <rPr>
        <i val="true"/>
        <sz val="9"/>
        <color rgb="FF666666"/>
        <rFont val="Noto Sans CJK SC"/>
        <family val="2"/>
      </rPr>
      <t xml:space="preserve">파란 글씨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수식 계산값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검은 글씨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기획서 원값</t>
    </r>
    <r>
      <rPr>
        <i val="true"/>
        <sz val="9"/>
        <color rgb="FF666666"/>
        <rFont val="Arial"/>
        <family val="0"/>
        <charset val="1"/>
      </rPr>
      <t xml:space="preserve">. head_top_calc = 2 + foot_reach_J (8.1 </t>
    </r>
    <r>
      <rPr>
        <i val="true"/>
        <sz val="9"/>
        <color rgb="FF666666"/>
        <rFont val="Noto Sans CJK SC"/>
        <family val="2"/>
      </rPr>
      <t xml:space="preserve">식</t>
    </r>
    <r>
      <rPr>
        <i val="true"/>
        <sz val="9"/>
        <color rgb="FF666666"/>
        <rFont val="Arial"/>
        <family val="0"/>
        <charset val="1"/>
      </rPr>
      <t xml:space="preserve">). air_extra </t>
    </r>
    <r>
      <rPr>
        <i val="true"/>
        <sz val="9"/>
        <color rgb="FF666666"/>
        <rFont val="Noto Sans CJK SC"/>
        <family val="2"/>
      </rPr>
      <t xml:space="preserve">행은 차지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갭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천장 값이 성립하지 않아 — 로 둡니다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</si>
  <si>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02. </t>
    </r>
    <r>
      <rPr>
        <b val="true"/>
        <sz val="12"/>
        <rFont val="Noto Sans CJK SC"/>
        <family val="2"/>
      </rPr>
      <t xml:space="preserve">전투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이동 파라미터</t>
    </r>
  </si>
  <si>
    <t xml:space="preserve">param_id (PK)</t>
  </si>
  <si>
    <t xml:space="preserve">group</t>
  </si>
  <si>
    <t xml:space="preserve">value</t>
  </si>
  <si>
    <t xml:space="preserve">unit</t>
  </si>
  <si>
    <t xml:space="preserve">hp_base</t>
  </si>
  <si>
    <t xml:space="preserve">체력</t>
  </si>
  <si>
    <t xml:space="preserve">기본 체력</t>
  </si>
  <si>
    <t xml:space="preserve">마스크</t>
  </si>
  <si>
    <t xml:space="preserve">5.2</t>
  </si>
  <si>
    <t xml:space="preserve">시작 체력</t>
  </si>
  <si>
    <t xml:space="preserve">hp_max</t>
  </si>
  <si>
    <t xml:space="preserve">최대 체력</t>
  </si>
  <si>
    <r>
      <rPr>
        <sz val="10"/>
        <rFont val="Noto Sans CJK SC"/>
        <family val="2"/>
      </rPr>
      <t xml:space="preserve">마스크 조각 수집으로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칸 →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칸 영구 확장</t>
    </r>
  </si>
  <si>
    <t xml:space="preserve">hp_shard_per_slot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</si>
  <si>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칸당 필요 조각</t>
    </r>
  </si>
  <si>
    <t xml:space="preserve">개</t>
  </si>
  <si>
    <r>
      <rPr>
        <sz val="10"/>
        <rFont val="Noto Sans CJK SC"/>
        <family val="2"/>
      </rPr>
      <t xml:space="preserve">조각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= +1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조각으로 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칸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번째 조각 획득 즉시 해당 칸 만충</t>
    </r>
  </si>
  <si>
    <t xml:space="preserve">hp_iframe</t>
  </si>
  <si>
    <t xml:space="preserve">피격 무적 시간</t>
  </si>
  <si>
    <r>
      <rPr>
        <sz val="10"/>
        <rFont val="Noto Sans CJK SC"/>
        <family val="2"/>
      </rPr>
      <t xml:space="preserve">무적 중 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공격 모두 가능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낙사 판정 함정은 무적을 무시함 — 지형의 경고는 무적으로도 넘어설 수 없어야 무게를 가짐</t>
    </r>
  </si>
  <si>
    <t xml:space="preserve">hp_knockback</t>
  </si>
  <si>
    <t xml:space="preserve">피격 넉백</t>
  </si>
  <si>
    <r>
      <rPr>
        <sz val="10"/>
        <rFont val="Noto Sans CJK SC"/>
        <family val="2"/>
      </rPr>
      <t xml:space="preserve">수평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 × 0.15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수직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</t>
    </r>
  </si>
  <si>
    <t xml:space="preserve">atk_0</t>
  </si>
  <si>
    <t xml:space="preserve">ATK</t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</si>
  <si>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(0</t>
    </r>
    <r>
      <rPr>
        <sz val="10"/>
        <rFont val="Noto Sans CJK SC"/>
        <family val="2"/>
      </rPr>
      <t xml:space="preserve">강</t>
    </r>
    <r>
      <rPr>
        <sz val="10"/>
        <rFont val="Arial"/>
        <family val="0"/>
        <charset val="1"/>
      </rPr>
      <t xml:space="preserve">)</t>
    </r>
  </si>
  <si>
    <t xml:space="preserve">5.3</t>
  </si>
  <si>
    <t xml:space="preserve">게임 시작 시</t>
  </si>
  <si>
    <t xml:space="preserve">atk_1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</si>
  <si>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강</t>
    </r>
  </si>
  <si>
    <t xml:space="preserve">+4</t>
  </si>
  <si>
    <t xml:space="preserve">atk_2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</si>
  <si>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강</t>
    </r>
  </si>
  <si>
    <t xml:space="preserve">atk_3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</si>
  <si>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최대</t>
    </r>
    <r>
      <rPr>
        <sz val="10"/>
        <rFont val="Arial"/>
        <family val="0"/>
        <charset val="1"/>
      </rPr>
      <t xml:space="preserve">)</t>
    </r>
  </si>
  <si>
    <t xml:space="preserve">fall_weak</t>
  </si>
  <si>
    <t xml:space="preserve">낙하구간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</si>
  <si>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(~3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)</t>
    </r>
  </si>
  <si>
    <t xml:space="preserve">6.6.1</t>
  </si>
  <si>
    <t xml:space="preserve">경직 없음</t>
  </si>
  <si>
    <t xml:space="preserve">fall_mid</t>
  </si>
  <si>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(3~7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</si>
  <si>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경직 </t>
    </r>
    <r>
      <rPr>
        <sz val="10"/>
        <rFont val="Arial"/>
        <family val="0"/>
        <charset val="1"/>
      </rPr>
      <t xml:space="preserve">0.2</t>
    </r>
    <r>
      <rPr>
        <sz val="10"/>
        <rFont val="Noto Sans CJK SC"/>
        <family val="2"/>
      </rPr>
      <t xml:space="preserve">초</t>
    </r>
  </si>
  <si>
    <t xml:space="preserve">fall_strong</t>
  </si>
  <si>
    <r>
      <rPr>
        <sz val="10"/>
        <rFont val="Noto Sans CJK SC"/>
        <family val="2"/>
      </rPr>
      <t xml:space="preserve">강 </t>
    </r>
    <r>
      <rPr>
        <sz val="10"/>
        <rFont val="Arial"/>
        <family val="0"/>
        <charset val="1"/>
      </rPr>
      <t xml:space="preserve">(7 </t>
    </r>
    <r>
      <rPr>
        <sz val="10"/>
        <rFont val="Noto Sans CJK SC"/>
        <family val="2"/>
      </rPr>
      <t xml:space="preserve">타일 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</si>
  <si>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경직 </t>
    </r>
    <r>
      <rPr>
        <sz val="10"/>
        <rFont val="Arial"/>
        <family val="0"/>
        <charset val="1"/>
      </rPr>
      <t xml:space="preserve">0.4</t>
    </r>
    <r>
      <rPr>
        <sz val="10"/>
        <rFont val="Noto Sans CJK SC"/>
        <family val="2"/>
      </rPr>
      <t xml:space="preserve">초</t>
    </r>
  </si>
  <si>
    <t xml:space="preserve">dmg_stomp</t>
  </si>
  <si>
    <t xml:space="preserve">액션 데미지</t>
  </si>
  <si>
    <t xml:space="preserve">점프 밟기</t>
  </si>
  <si>
    <t xml:space="preserve">6.5</t>
  </si>
  <si>
    <r>
      <rPr>
        <sz val="10"/>
        <rFont val="Noto Sans CJK SC"/>
        <family val="2"/>
      </rPr>
      <t xml:space="preserve">다운 스트라이크</t>
    </r>
    <r>
      <rPr>
        <sz val="10"/>
        <rFont val="Arial"/>
        <family val="0"/>
        <charset val="1"/>
      </rPr>
      <t xml:space="preserve">(×1.0~1.6) </t>
    </r>
    <r>
      <rPr>
        <sz val="10"/>
        <rFont val="Noto Sans CJK SC"/>
        <family val="2"/>
      </rPr>
      <t xml:space="preserve">아래 위계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별도 입력 없이 나가는 부드러운 옵션</t>
    </r>
  </si>
  <si>
    <t xml:space="preserve">dmg_dash</t>
  </si>
  <si>
    <t xml:space="preserve">삽 돌진</t>
  </si>
  <si>
    <t xml:space="preserve">6.4.3</t>
  </si>
  <si>
    <r>
      <rPr>
        <sz val="10"/>
        <rFont val="Noto Sans CJK SC"/>
        <family val="2"/>
      </rPr>
      <t xml:space="preserve">전방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타일을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초에 가로지르는 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공격 일체기</t>
    </r>
  </si>
  <si>
    <t xml:space="preserve">ember_max</t>
  </si>
  <si>
    <t xml:space="preserve">잔불</t>
  </si>
  <si>
    <t xml:space="preserve">최대 보유량</t>
  </si>
  <si>
    <t xml:space="preserve">칸</t>
  </si>
  <si>
    <t xml:space="preserve">5.4</t>
  </si>
  <si>
    <t xml:space="preserve">ember_gain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</si>
  <si>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충전량</t>
    </r>
  </si>
  <si>
    <r>
      <rPr>
        <sz val="10"/>
        <rFont val="Noto Sans CJK SC"/>
        <family val="2"/>
      </rPr>
      <t xml:space="preserve">다운 스트라이크로 적 타격 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관통 시 타격한 마릿수만큼 충전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패링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오브젝트 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지형 파괴로는 충전 불가</t>
    </r>
  </si>
  <si>
    <t xml:space="preserve">ember_cost</t>
  </si>
  <si>
    <r>
      <rPr>
        <sz val="10"/>
        <rFont val="Noto Sans CJK SC"/>
        <family val="2"/>
      </rPr>
      <t xml:space="preserve">회복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소모</t>
    </r>
  </si>
  <si>
    <t xml:space="preserve">차지 완료 시점에만 차감 — 취소하면 무차감</t>
  </si>
  <si>
    <t xml:space="preserve">heal_amount</t>
  </si>
  <si>
    <t xml:space="preserve">회복</t>
  </si>
  <si>
    <t xml:space="preserve">회복량</t>
  </si>
  <si>
    <t xml:space="preserve">heal_charge</t>
  </si>
  <si>
    <t xml:space="preserve">차지 시간</t>
  </si>
  <si>
    <t xml:space="preserve">6.10</t>
  </si>
  <si>
    <r>
      <rPr>
        <sz val="10"/>
        <rFont val="Noto Sans CJK SC"/>
        <family val="2"/>
      </rPr>
      <t xml:space="preserve">홀드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좌우 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방향 전환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전투 입력 전부 차단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공중 사용 불가</t>
    </r>
  </si>
  <si>
    <t xml:space="preserve">ds_fall_speed</t>
  </si>
  <si>
    <t xml:space="preserve">다운 스트라이크</t>
  </si>
  <si>
    <t xml:space="preserve">하강 속도</t>
  </si>
  <si>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</t>
    </r>
  </si>
  <si>
    <t xml:space="preserve">6.6</t>
  </si>
  <si>
    <r>
      <rPr>
        <sz val="10"/>
        <rFont val="Noto Sans CJK SC"/>
        <family val="2"/>
      </rPr>
      <t xml:space="preserve">기본 낙하</t>
    </r>
    <r>
      <rPr>
        <sz val="10"/>
        <rFont val="Arial"/>
        <family val="0"/>
        <charset val="1"/>
      </rPr>
      <t xml:space="preserve">(25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</si>
  <si>
    <t xml:space="preserve">ds_bounce_speed</t>
  </si>
  <si>
    <t xml:space="preserve">바운스 속도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</si>
  <si>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0.6 </t>
    </r>
    <r>
      <rPr>
        <sz val="10"/>
        <rFont val="Noto Sans CJK SC"/>
        <family val="2"/>
      </rPr>
      <t xml:space="preserve">타일 수직 상승</t>
    </r>
  </si>
  <si>
    <t xml:space="preserve">stomp_bounce_speed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</si>
  <si>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1.6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적 중심 기준 반사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수평 성분 부족 시 </t>
    </r>
    <r>
      <rPr>
        <sz val="10"/>
        <rFont val="Arial"/>
        <family val="0"/>
        <charset val="1"/>
      </rPr>
      <t xml:space="preserve">30° </t>
    </r>
    <r>
      <rPr>
        <sz val="10"/>
        <rFont val="Noto Sans CJK SC"/>
        <family val="2"/>
      </rPr>
      <t xml:space="preserve">보정</t>
    </r>
  </si>
  <si>
    <t xml:space="preserve">parry_window</t>
  </si>
  <si>
    <t xml:space="preserve">패링</t>
  </si>
  <si>
    <t xml:space="preserve">판정 윈도우</t>
  </si>
  <si>
    <t xml:space="preserve">6.7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</si>
  <si>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프레임 </t>
    </r>
    <r>
      <rPr>
        <sz val="10"/>
        <rFont val="Arial"/>
        <family val="0"/>
        <charset val="1"/>
      </rPr>
      <t xml:space="preserve">active 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지면에 닿아도 남은 윈도우를 그대로 소진 — 기다린 시간이 헛되지 않게</t>
    </r>
  </si>
  <si>
    <t xml:space="preserve">parry_cooldown</t>
  </si>
  <si>
    <t xml:space="preserve">재사용 대기</t>
  </si>
  <si>
    <r>
      <rPr>
        <sz val="10"/>
        <rFont val="Noto Sans CJK SC"/>
        <family val="2"/>
      </rPr>
      <t xml:space="preserve">성공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실패 무관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쿨다운 중 패링 입력은 버퍼링하지 않고 무시</t>
    </r>
  </si>
  <si>
    <t xml:space="preserve">parry_iframe</t>
  </si>
  <si>
    <t xml:space="preserve">성공 시 무적</t>
  </si>
  <si>
    <r>
      <rPr>
        <sz val="10"/>
        <rFont val="Noto Sans CJK SC"/>
        <family val="2"/>
      </rPr>
      <t xml:space="preserve">피격 무효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넉백 없음</t>
    </r>
  </si>
  <si>
    <t xml:space="preserve">dash_cooldown</t>
  </si>
  <si>
    <t xml:space="preserve">쿨다운</t>
  </si>
  <si>
    <t xml:space="preserve">6.11</t>
  </si>
  <si>
    <r>
      <rPr>
        <sz val="10"/>
        <rFont val="Noto Sans CJK SC"/>
        <family val="2"/>
      </rPr>
      <t xml:space="preserve">공중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제한</t>
    </r>
  </si>
  <si>
    <t xml:space="preserve">move_air_speed</t>
  </si>
  <si>
    <t xml:space="preserve">이동</t>
  </si>
  <si>
    <t xml:space="preserve">공중 좌우 속도</t>
  </si>
  <si>
    <t xml:space="preserve">6.2.1</t>
  </si>
  <si>
    <t xml:space="preserve">move_terminal</t>
  </si>
  <si>
    <t xml:space="preserve">최대 낙하 속도</t>
  </si>
  <si>
    <t xml:space="preserve">터미널 속도</t>
  </si>
  <si>
    <t xml:space="preserve">move_land_recovery</t>
  </si>
  <si>
    <t xml:space="preserve">착지 리커버리</t>
  </si>
  <si>
    <t xml:space="preserve">즉시 재점프 — 통통 튀는 리듬이 끊기지 않게</t>
  </si>
  <si>
    <t xml:space="preserve">move_coyote</t>
  </si>
  <si>
    <t xml:space="preserve">코요테 타임</t>
  </si>
  <si>
    <r>
      <rPr>
        <sz val="10"/>
        <rFont val="Arial"/>
        <family val="0"/>
        <charset val="1"/>
      </rPr>
      <t xml:space="preserve">0.2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발판 끝 낙하 후 점프 허용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점프로 접지를 벗어난 경우에는 미적용 — 재무장을 허용하면 능력 없는 공중 재점프가 성립함</t>
    </r>
  </si>
  <si>
    <t xml:space="preserve">move_buffer</t>
  </si>
  <si>
    <t xml:space="preserve">점프 버퍼</t>
  </si>
  <si>
    <r>
      <rPr>
        <sz val="10"/>
        <rFont val="Arial"/>
        <family val="0"/>
        <charset val="1"/>
      </rPr>
      <t xml:space="preserve">0.05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착지 직전 입력 인정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</si>
  <si>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5.2~5.4·6.2.1·6.4.3·6.5~6.7·6.10·6.11. </t>
    </r>
    <r>
      <rPr>
        <i val="true"/>
        <sz val="9"/>
        <color rgb="FF666666"/>
        <rFont val="Noto Sans CJK SC"/>
        <family val="2"/>
      </rPr>
      <t xml:space="preserve">비고는 기획서 본문의 설계 근거를 그대로 옮긴 것입니다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</si>
  <si>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03. </t>
    </r>
    <r>
      <rPr>
        <b val="true"/>
        <sz val="12"/>
        <rFont val="Noto Sans CJK SC"/>
        <family val="2"/>
      </rPr>
      <t xml:space="preserve">히트박스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명중 판정</t>
    </r>
  </si>
  <si>
    <t xml:space="preserve">box_id (PK)</t>
  </si>
  <si>
    <t xml:space="preserve">box_type</t>
  </si>
  <si>
    <t xml:space="preserve">shape</t>
  </si>
  <si>
    <t xml:space="preserve">width_tile</t>
  </si>
  <si>
    <t xml:space="preserve">height_tile</t>
  </si>
  <si>
    <t xml:space="preserve">offset_x</t>
  </si>
  <si>
    <t xml:space="preserve">offset_y</t>
  </si>
  <si>
    <t xml:space="preserve">collider</t>
  </si>
  <si>
    <t xml:space="preserve">trigger</t>
  </si>
  <si>
    <t xml:space="preserve">status</t>
  </si>
  <si>
    <t xml:space="preserve">box_hurt_player</t>
  </si>
  <si>
    <t xml:space="preserve">플레이어</t>
  </si>
  <si>
    <t xml:space="preserve">hurtbox</t>
  </si>
  <si>
    <t xml:space="preserve">박스</t>
  </si>
  <si>
    <t xml:space="preserve">BoxCollider2D</t>
  </si>
  <si>
    <t xml:space="preserve">non-trigger</t>
  </si>
  <si>
    <t xml:space="preserve">확정</t>
  </si>
  <si>
    <r>
      <rPr>
        <sz val="10"/>
        <rFont val="Noto Sans CJK SC"/>
        <family val="2"/>
      </rPr>
      <t xml:space="preserve">캐릭터 전체 </t>
    </r>
    <r>
      <rPr>
        <sz val="10"/>
        <rFont val="Arial"/>
        <family val="0"/>
        <charset val="1"/>
      </rPr>
      <t xml:space="preserve">1 × 2 </t>
    </r>
    <r>
      <rPr>
        <sz val="10"/>
        <rFont val="Noto Sans CJK SC"/>
        <family val="2"/>
      </rPr>
      <t xml:space="preserve">타일 중 상단 </t>
    </r>
    <r>
      <rPr>
        <sz val="10"/>
        <rFont val="Arial"/>
        <family val="0"/>
        <charset val="1"/>
      </rPr>
      <t xml:space="preserve">3/4</t>
    </r>
    <r>
      <rPr>
        <sz val="10"/>
        <rFont val="Noto Sans CJK SC"/>
        <family val="2"/>
      </rPr>
      <t xml:space="preserve">를 허트박스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하단 </t>
    </r>
    <r>
      <rPr>
        <sz val="10"/>
        <rFont val="Arial"/>
        <family val="0"/>
        <charset val="1"/>
      </rPr>
      <t xml:space="preserve">1/4</t>
    </r>
    <r>
      <rPr>
        <sz val="10"/>
        <rFont val="Noto Sans CJK SC"/>
        <family val="2"/>
      </rPr>
      <t xml:space="preserve">를 공격으로 분할한 결과</t>
    </r>
  </si>
  <si>
    <t xml:space="preserve">box_downstrike</t>
  </si>
  <si>
    <t xml:space="preserve">삽날 끝자락을 이용한 아슬아슬한 감각 유도</t>
  </si>
  <si>
    <t xml:space="preserve">box_stomp</t>
  </si>
  <si>
    <t xml:space="preserve">발밑</t>
  </si>
  <si>
    <r>
      <rPr>
        <sz val="10"/>
        <rFont val="Arial"/>
        <family val="0"/>
        <charset val="1"/>
      </rPr>
      <t xml:space="preserve">PlayerStompHitbox </t>
    </r>
    <r>
      <rPr>
        <sz val="10"/>
        <rFont val="Noto Sans CJK SC"/>
        <family val="2"/>
      </rPr>
      <t xml:space="preserve">자식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다운 스트라이크</t>
    </r>
    <r>
      <rPr>
        <sz val="10"/>
        <rFont val="Arial"/>
        <family val="0"/>
        <charset val="1"/>
      </rPr>
      <t xml:space="preserve">(1.0 × 0.5)</t>
    </r>
    <r>
      <rPr>
        <sz val="10"/>
        <rFont val="Noto Sans CJK SC"/>
        <family val="2"/>
      </rPr>
      <t xml:space="preserve">보다 좁아 밟기 유효 영역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다운 스트라이크 유효 영역 위계가 성립 — 원문 그대로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 행의 </t>
    </r>
    <r>
      <rPr>
        <sz val="10"/>
        <rFont val="Arial"/>
        <family val="0"/>
        <charset val="1"/>
      </rPr>
      <t xml:space="preserve">0.8</t>
    </r>
    <r>
      <rPr>
        <sz val="10"/>
        <rFont val="Noto Sans CJK SC"/>
        <family val="2"/>
      </rPr>
      <t xml:space="preserve">과 어긋남</t>
    </r>
    <r>
      <rPr>
        <sz val="10"/>
        <rFont val="Arial"/>
        <family val="0"/>
        <charset val="1"/>
      </rPr>
      <t xml:space="preserve">(00_Schema 8</t>
    </r>
    <r>
      <rPr>
        <sz val="10"/>
        <rFont val="Noto Sans CJK SC"/>
        <family val="2"/>
      </rPr>
      <t xml:space="preserve">번</t>
    </r>
    <r>
      <rPr>
        <sz val="10"/>
        <rFont val="Arial"/>
        <family val="0"/>
        <charset val="1"/>
      </rPr>
      <t xml:space="preserve">)</t>
    </r>
  </si>
  <si>
    <t xml:space="preserve">box_parry</t>
  </si>
  <si>
    <t xml:space="preserve">수용</t>
  </si>
  <si>
    <t xml:space="preserve">전방 반평면</t>
  </si>
  <si>
    <t xml:space="preserve">미정 — 실측 후 결정</t>
  </si>
  <si>
    <r>
      <rPr>
        <sz val="10"/>
        <rFont val="Noto Sans CJK SC"/>
        <family val="2"/>
      </rPr>
      <t xml:space="preserve">삽 방향 전방 반평면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후방 피해는 일반 피격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방향 제한만 채택하고 반경 치수는 실측 후 결정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사혈침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접근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출처 미상 피해는 수용</t>
    </r>
  </si>
  <si>
    <t xml:space="preserve">box_crack_break</t>
  </si>
  <si>
    <t xml:space="preserve">다운 스트라이크 착지</t>
  </si>
  <si>
    <t xml:space="preserve">파괴</t>
  </si>
  <si>
    <t xml:space="preserve">원형</t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</si>
  <si>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1.5</t>
    </r>
  </si>
  <si>
    <t xml:space="preserve">착지 지점</t>
  </si>
  <si>
    <r>
      <rPr>
        <sz val="10"/>
        <rFont val="Arial"/>
        <family val="0"/>
        <charset val="1"/>
      </rPr>
      <t xml:space="preserve">C0 </t>
    </r>
    <r>
      <rPr>
        <sz val="10"/>
        <rFont val="Noto Sans CJK SC"/>
        <family val="2"/>
      </rPr>
      <t xml:space="preserve">등급 균열 블록만 파괴</t>
    </r>
    <r>
      <rPr>
        <sz val="10"/>
        <rFont val="Arial"/>
        <family val="0"/>
        <charset val="1"/>
      </rPr>
      <t xml:space="preserve">. C1·C2</t>
    </r>
    <r>
      <rPr>
        <sz val="10"/>
        <rFont val="Noto Sans CJK SC"/>
        <family val="2"/>
      </rPr>
      <t xml:space="preserve">는 차지 착지 충격</t>
    </r>
    <r>
      <rPr>
        <sz val="10"/>
        <rFont val="Arial"/>
        <family val="0"/>
        <charset val="1"/>
      </rPr>
      <t xml:space="preserve">, CD</t>
    </r>
    <r>
      <rPr>
        <sz val="10"/>
        <rFont val="Noto Sans CJK SC"/>
        <family val="2"/>
      </rPr>
      <t xml:space="preserve">는 돌진 접촉 전용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</si>
  <si>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6.9. </t>
    </r>
    <r>
      <rPr>
        <i val="true"/>
        <sz val="9"/>
        <color rgb="FF666666"/>
        <rFont val="Noto Sans CJK SC"/>
        <family val="2"/>
      </rPr>
      <t xml:space="preserve">기획서 본문이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반경 치수는 실측 후 결정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이라 명시한 값은 「미정」으로 두었습니다 — 임의로 채우지 않습니다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</si>
  <si>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04. </t>
    </r>
    <r>
      <rPr>
        <b val="true"/>
        <sz val="12"/>
        <rFont val="Noto Sans CJK SC"/>
        <family val="2"/>
      </rPr>
      <t xml:space="preserve">상태 전환 규칙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예외 처리</t>
    </r>
  </si>
  <si>
    <t xml:space="preserve">rule_id (PK)</t>
  </si>
  <si>
    <t xml:space="preserve">row_type</t>
  </si>
  <si>
    <t xml:space="preserve">state_or_exception</t>
  </si>
  <si>
    <t xml:space="preserve">to_states_or_condition</t>
  </si>
  <si>
    <t xml:space="preserve">cancel_rule_or_handling</t>
  </si>
  <si>
    <t xml:space="preserve">intent</t>
  </si>
  <si>
    <t xml:space="preserve">st_ground</t>
  </si>
  <si>
    <t xml:space="preserve">전환</t>
  </si>
  <si>
    <t xml:space="preserve">지상 스탠딩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</si>
  <si>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패링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회복</t>
    </r>
  </si>
  <si>
    <t xml:space="preserve">자유 전환</t>
  </si>
  <si>
    <t xml:space="preserve">st_charging</t>
  </si>
  <si>
    <t xml:space="preserve">차지 중</t>
  </si>
  <si>
    <r>
      <rPr>
        <sz val="10"/>
        <rFont val="Noto Sans CJK SC"/>
        <family val="2"/>
      </rPr>
      <t xml:space="preserve">점프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발동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패링</t>
    </r>
  </si>
  <si>
    <t xml:space="preserve">피격 시 즉시 취소</t>
  </si>
  <si>
    <t xml:space="preserve">st_rising</t>
  </si>
  <si>
    <t xml:space="preserve">점프 상승 중</t>
  </si>
  <si>
    <r>
      <rPr>
        <sz val="10"/>
        <rFont val="Noto Sans CJK SC"/>
        <family val="2"/>
      </rPr>
      <t xml:space="preserve">더블 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다운 스트라이크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패링</t>
    </r>
  </si>
  <si>
    <t xml:space="preserve">천장 충돌 시 상승 즉시 중단</t>
  </si>
  <si>
    <t xml:space="preserve">st_hangtime</t>
  </si>
  <si>
    <t xml:space="preserve">행 타임</t>
  </si>
  <si>
    <t xml:space="preserve">다운 스트라이크 입력 시 즉시 종료</t>
  </si>
  <si>
    <t xml:space="preserve">st_falling</t>
  </si>
  <si>
    <t xml:space="preserve">점프 하강 중</t>
  </si>
  <si>
    <r>
      <rPr>
        <sz val="10"/>
        <rFont val="Noto Sans CJK SC"/>
        <family val="2"/>
      </rPr>
      <t xml:space="preserve">더블 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다운 스트라이크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패링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점프 밟기</t>
    </r>
  </si>
  <si>
    <r>
      <rPr>
        <sz val="10"/>
        <rFont val="Noto Sans CJK SC"/>
        <family val="2"/>
      </rPr>
      <t xml:space="preserve">더블 점프는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제한</t>
    </r>
  </si>
  <si>
    <t xml:space="preserve">st_downstrike</t>
  </si>
  <si>
    <t xml:space="preserve">다운 스트라이크 중</t>
  </si>
  <si>
    <r>
      <rPr>
        <sz val="10"/>
        <rFont val="Noto Sans CJK SC"/>
        <family val="2"/>
      </rPr>
      <t xml:space="preserve">바운스 후 더블 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패링</t>
    </r>
  </si>
  <si>
    <r>
      <rPr>
        <sz val="10"/>
        <rFont val="Noto Sans CJK SC"/>
        <family val="2"/>
      </rPr>
      <t xml:space="preserve">하강 중 취소 불가 — 착지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타격까지 지속</t>
    </r>
  </si>
  <si>
    <t xml:space="preserve">st_parry_active</t>
  </si>
  <si>
    <r>
      <rPr>
        <sz val="10"/>
        <rFont val="Noto Sans CJK SC"/>
        <family val="2"/>
      </rPr>
      <t xml:space="preserve">패링 </t>
    </r>
    <r>
      <rPr>
        <sz val="10"/>
        <rFont val="Arial"/>
        <family val="0"/>
        <charset val="1"/>
      </rPr>
      <t xml:space="preserve">active (0.5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</si>
  <si>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성공 시 → 반동 상승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실패 시 → 쿨다운</t>
    </r>
  </si>
  <si>
    <r>
      <rPr>
        <sz val="10"/>
        <rFont val="Noto Sans CJK SC"/>
        <family val="2"/>
      </rPr>
      <t xml:space="preserve">좌우 이동은 허용 — 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돌진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다운 스트라이크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회복만 차단</t>
    </r>
  </si>
  <si>
    <t xml:space="preserve">st_parry_cool</t>
  </si>
  <si>
    <r>
      <rPr>
        <sz val="10"/>
        <rFont val="Noto Sans CJK SC"/>
        <family val="2"/>
      </rPr>
      <t xml:space="preserve">패링 쿨다운 </t>
    </r>
    <r>
      <rPr>
        <sz val="10"/>
        <rFont val="Arial"/>
        <family val="0"/>
        <charset val="1"/>
      </rPr>
      <t xml:space="preserve">(0.5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</si>
  <si>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다운 스트라이크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패링 불가</t>
    </r>
  </si>
  <si>
    <r>
      <rPr>
        <sz val="10"/>
        <rFont val="Noto Sans CJK SC"/>
        <family val="2"/>
      </rPr>
      <t xml:space="preserve">쿨다운 중 패링 입력 무시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버퍼링 안 함</t>
    </r>
    <r>
      <rPr>
        <sz val="10"/>
        <rFont val="Arial"/>
        <family val="0"/>
        <charset val="1"/>
      </rPr>
      <t xml:space="preserve">)</t>
    </r>
  </si>
  <si>
    <t xml:space="preserve">st_healing</t>
  </si>
  <si>
    <t xml:space="preserve">회복 차지 중</t>
  </si>
  <si>
    <r>
      <rPr>
        <sz val="10"/>
        <rFont val="Noto Sans CJK SC"/>
        <family val="2"/>
      </rPr>
      <t xml:space="preserve">다른 모든 입력 차단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피격 시 즉시 취소</t>
    </r>
  </si>
  <si>
    <t xml:space="preserve">st_iframe</t>
  </si>
  <si>
    <r>
      <rPr>
        <sz val="10"/>
        <rFont val="Noto Sans CJK SC"/>
        <family val="2"/>
      </rPr>
      <t xml:space="preserve">피격 무적 </t>
    </r>
    <r>
      <rPr>
        <sz val="10"/>
        <rFont val="Arial"/>
        <family val="0"/>
        <charset val="1"/>
      </rPr>
      <t xml:space="preserve">(1.1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</si>
  <si>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공격 모두 가능</t>
    </r>
  </si>
  <si>
    <r>
      <rPr>
        <sz val="10"/>
        <rFont val="Noto Sans CJK SC"/>
        <family val="2"/>
      </rPr>
      <t xml:space="preserve">패링 입력 가능하나 의미 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데미지 안 들어옴</t>
    </r>
    <r>
      <rPr>
        <sz val="10"/>
        <rFont val="Arial"/>
        <family val="0"/>
        <charset val="1"/>
      </rPr>
      <t xml:space="preserve">)</t>
    </r>
  </si>
  <si>
    <t xml:space="preserve">ex_multihit</t>
  </si>
  <si>
    <t xml:space="preserve">예외</t>
  </si>
  <si>
    <t xml:space="preserve">다중 관통 타격</t>
  </si>
  <si>
    <r>
      <rPr>
        <sz val="10"/>
        <rFont val="Noto Sans CJK SC"/>
        <family val="2"/>
      </rPr>
      <t xml:space="preserve">다운 스트라이크 하강 경로에 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마리 이상</t>
    </r>
  </si>
  <si>
    <r>
      <rPr>
        <sz val="10"/>
        <rFont val="Noto Sans CJK SC"/>
        <family val="2"/>
      </rPr>
      <t xml:space="preserve">전원에게 데미지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바운스는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잔불은 타격한 마릿수만큼 충전</t>
    </r>
  </si>
  <si>
    <r>
      <rPr>
        <sz val="10"/>
        <rFont val="Noto Sans CJK SC"/>
        <family val="2"/>
      </rPr>
      <t xml:space="preserve">꿰뚫는 쾌감은 살리되 바운스를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회로 묶어 이동 리듬이 튀지 않게 함</t>
    </r>
  </si>
  <si>
    <t xml:space="preserve">ex_wall</t>
  </si>
  <si>
    <t xml:space="preserve">벽 접촉</t>
  </si>
  <si>
    <t xml:space="preserve">다운 스트라이크 하강 중 좌우로 밀려 벽에 닿음</t>
  </si>
  <si>
    <r>
      <rPr>
        <sz val="10"/>
        <rFont val="Noto Sans CJK SC"/>
        <family val="2"/>
      </rPr>
      <t xml:space="preserve">수직 하강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 해제 없음</t>
    </r>
  </si>
  <si>
    <t xml:space="preserve">하강은 조준의 결과이므로 도중에 궤도가 흐트러지지 않게 함</t>
  </si>
  <si>
    <t xml:space="preserve">ex_spike</t>
  </si>
  <si>
    <r>
      <rPr>
        <sz val="10"/>
        <rFont val="Noto Sans CJK SC"/>
        <family val="2"/>
      </rPr>
      <t xml:space="preserve">사혈침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다운 스트라이크</t>
    </r>
  </si>
  <si>
    <t xml:space="preserve">하강 경로에 가시 지형</t>
  </si>
  <si>
    <r>
      <rPr>
        <sz val="10"/>
        <rFont val="Noto Sans CJK SC"/>
        <family val="2"/>
      </rPr>
      <t xml:space="preserve">무피해 패링 바운스 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타일 상승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더블 점프 카운트는 복구하지 않음</t>
    </r>
  </si>
  <si>
    <r>
      <rPr>
        <sz val="10"/>
        <rFont val="Noto Sans CJK SC"/>
        <family val="2"/>
      </rPr>
      <t xml:space="preserve">가시밭 위 리듬 돌파는 열되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가시밭이 무제한 패링 바운스가 되면 포고 오브젝트 루트 게이트가 무너지므로 복구는 제외</t>
    </r>
  </si>
  <si>
    <t xml:space="preserve">ex_ceiling</t>
  </si>
  <si>
    <t xml:space="preserve">천장 충돌</t>
  </si>
  <si>
    <t xml:space="preserve">행 타임 구간에서 천장에 닿음</t>
  </si>
  <si>
    <r>
      <rPr>
        <sz val="10"/>
        <rFont val="Noto Sans CJK SC"/>
        <family val="2"/>
      </rPr>
      <t xml:space="preserve">행 타임 즉시 종료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 중력 전환</t>
    </r>
  </si>
  <si>
    <t xml:space="preserve">체공이 강제로 끝났으면 여백도 함께 끝나는 편이 자연스러움</t>
  </si>
  <si>
    <t xml:space="preserve">ex_parry_land</t>
  </si>
  <si>
    <r>
      <rPr>
        <sz val="10"/>
        <rFont val="Arial"/>
        <family val="0"/>
        <charset val="1"/>
      </rPr>
      <t xml:space="preserve">active </t>
    </r>
    <r>
      <rPr>
        <sz val="10"/>
        <rFont val="Noto Sans CJK SC"/>
        <family val="2"/>
      </rPr>
      <t xml:space="preserve">중 착지</t>
    </r>
  </si>
  <si>
    <r>
      <rPr>
        <sz val="10"/>
        <rFont val="Noto Sans CJK SC"/>
        <family val="2"/>
      </rPr>
      <t xml:space="preserve">패링 </t>
    </r>
    <r>
      <rPr>
        <sz val="10"/>
        <rFont val="Arial"/>
        <family val="0"/>
        <charset val="1"/>
      </rPr>
      <t xml:space="preserve">active 0.5</t>
    </r>
    <r>
      <rPr>
        <sz val="10"/>
        <rFont val="Noto Sans CJK SC"/>
        <family val="2"/>
      </rPr>
      <t xml:space="preserve">초 도중 지면 접지</t>
    </r>
  </si>
  <si>
    <r>
      <rPr>
        <sz val="10"/>
        <rFont val="Arial"/>
        <family val="0"/>
        <charset val="1"/>
      </rPr>
      <t xml:space="preserve">active 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남은 윈도우 그대로 소진</t>
    </r>
  </si>
  <si>
    <t xml:space="preserve">지면에 닿았다고 자세가 풀리면 기다린 시간이 헛됨</t>
  </si>
  <si>
    <t xml:space="preserve">ex_iframe_pit</t>
  </si>
  <si>
    <t xml:space="preserve">무적 중 낙사 판정 함정</t>
  </si>
  <si>
    <r>
      <rPr>
        <sz val="10"/>
        <rFont val="Noto Sans CJK SC"/>
        <family val="2"/>
      </rPr>
      <t xml:space="preserve">피격 무적 </t>
    </r>
    <r>
      <rPr>
        <sz val="10"/>
        <rFont val="Arial"/>
        <family val="0"/>
        <charset val="1"/>
      </rPr>
      <t xml:space="preserve">1.1</t>
    </r>
    <r>
      <rPr>
        <sz val="10"/>
        <rFont val="Noto Sans CJK SC"/>
        <family val="2"/>
      </rPr>
      <t xml:space="preserve">초 도중 낙사 판정 함정 접촉</t>
    </r>
  </si>
  <si>
    <r>
      <rPr>
        <sz val="10"/>
        <rFont val="Noto Sans CJK SC"/>
        <family val="2"/>
      </rPr>
      <t xml:space="preserve">무적과 무관하게 마스크 차감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강제 리스폰 모두 실행</t>
    </r>
  </si>
  <si>
    <t xml:space="preserve">지형의 경고는 무적으로도 넘어설 수 없어야 무게를 가짐</t>
  </si>
  <si>
    <t xml:space="preserve">ex_coyote_double</t>
  </si>
  <si>
    <t xml:space="preserve">코요테 점프의 더블 점프</t>
  </si>
  <si>
    <t xml:space="preserve">코요테 타임 유예 중 발동한 점프</t>
  </si>
  <si>
    <r>
      <rPr>
        <sz val="10"/>
        <rFont val="Noto Sans CJK SC"/>
        <family val="2"/>
      </rPr>
      <t xml:space="preserve">일반 점프와 동일하게 더블 점프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사용 가능</t>
    </r>
  </si>
  <si>
    <t xml:space="preserve">유예로 살아난 점프가 반쪽이면 게임이 내 편이라는 감각이 깨짐</t>
  </si>
  <si>
    <t xml:space="preserve">ex_count_reset</t>
  </si>
  <si>
    <t xml:space="preserve">카운트 리셋</t>
  </si>
  <si>
    <r>
      <rPr>
        <sz val="10"/>
        <rFont val="Noto Sans CJK SC"/>
        <family val="2"/>
      </rPr>
      <t xml:space="preserve">오브젝트 점프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패링 반동 성공</t>
    </r>
  </si>
  <si>
    <r>
      <rPr>
        <sz val="10"/>
        <rFont val="Noto Sans CJK SC"/>
        <family val="2"/>
      </rPr>
      <t xml:space="preserve">더블 점프 카운트 리셋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다운 스트라이크 바운스는 리셋하지 않음</t>
    </r>
  </si>
  <si>
    <r>
      <rPr>
        <sz val="10"/>
        <rFont val="Noto Sans CJK SC"/>
        <family val="2"/>
      </rPr>
      <t xml:space="preserve">오브젝트 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패링 반동은 플레이어가 만들어 낸 재도약이라 보상하고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다운 스트라이크 바운스는 그 자체가 이미 보상이라 겹쳐 주지 않음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</si>
  <si>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6.8 · 6.8.2. row_type</t>
    </r>
    <r>
      <rPr>
        <i val="true"/>
        <sz val="9"/>
        <color rgb="FF666666"/>
        <rFont val="Noto Sans CJK SC"/>
        <family val="2"/>
      </rPr>
      <t xml:space="preserve">으로 정상 전환</t>
    </r>
    <r>
      <rPr>
        <i val="true"/>
        <sz val="9"/>
        <color rgb="FF666666"/>
        <rFont val="Arial"/>
        <family val="0"/>
        <charset val="1"/>
      </rPr>
      <t xml:space="preserve">(10</t>
    </r>
    <r>
      <rPr>
        <i val="true"/>
        <sz val="9"/>
        <color rgb="FF666666"/>
        <rFont val="Noto Sans CJK SC"/>
        <family val="2"/>
      </rPr>
      <t xml:space="preserve">행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과 예외 케이스</t>
    </r>
    <r>
      <rPr>
        <i val="true"/>
        <sz val="9"/>
        <color rgb="FF666666"/>
        <rFont val="Arial"/>
        <family val="0"/>
        <charset val="1"/>
      </rPr>
      <t xml:space="preserve">(8</t>
    </r>
    <r>
      <rPr>
        <i val="true"/>
        <sz val="9"/>
        <color rgb="FF666666"/>
        <rFont val="Noto Sans CJK SC"/>
        <family val="2"/>
      </rPr>
      <t xml:space="preserve">행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를 한 시트에 구분해 담았습니다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</si>
  <si>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05. </t>
    </r>
    <r>
      <rPr>
        <b val="true"/>
        <sz val="12"/>
        <rFont val="Noto Sans CJK SC"/>
        <family val="2"/>
      </rPr>
      <t xml:space="preserve">입력 매핑</t>
    </r>
  </si>
  <si>
    <t xml:space="preserve">action_id (PK)</t>
  </si>
  <si>
    <t xml:space="preserve">keyboard</t>
  </si>
  <si>
    <t xml:space="preserve">pad</t>
  </si>
  <si>
    <t xml:space="preserve">input_type</t>
  </si>
  <si>
    <t xml:space="preserve">hold_sec</t>
  </si>
  <si>
    <t xml:space="preserve">cooldown_sec</t>
  </si>
  <si>
    <t xml:space="preserve">buffer_frames</t>
  </si>
  <si>
    <t xml:space="preserve">condition</t>
  </si>
  <si>
    <t xml:space="preserve">in_move</t>
  </si>
  <si>
    <r>
      <rPr>
        <sz val="10"/>
        <rFont val="Noto Sans CJK SC"/>
        <family val="2"/>
      </rPr>
      <t xml:space="preserve">이동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</t>
    </r>
    <r>
      <rPr>
        <sz val="10"/>
        <rFont val="Arial"/>
        <family val="0"/>
        <charset val="1"/>
      </rPr>
      <t xml:space="preserve">)</t>
    </r>
  </si>
  <si>
    <t xml:space="preserve">← / →</t>
  </si>
  <si>
    <t xml:space="preserve">좌 스틱</t>
  </si>
  <si>
    <t xml:space="preserve">방향 입력</t>
  </si>
  <si>
    <t xml:space="preserve">in_jump</t>
  </si>
  <si>
    <r>
      <rPr>
        <sz val="10"/>
        <rFont val="Noto Sans CJK SC"/>
        <family val="2"/>
      </rPr>
      <t xml:space="preserve">점프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차지</t>
    </r>
  </si>
  <si>
    <t xml:space="preserve">Space</t>
  </si>
  <si>
    <t xml:space="preserve">A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</si>
  <si>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홀드</t>
    </r>
  </si>
  <si>
    <r>
      <rPr>
        <sz val="10"/>
        <rFont val="Arial"/>
        <family val="0"/>
        <charset val="1"/>
      </rPr>
      <t xml:space="preserve">0~1.2 (3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</si>
  <si>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차지 점프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다운 스트라이크를 한 키로 묶은 것이 이 게임의 조작 원칙</t>
    </r>
  </si>
  <si>
    <t xml:space="preserve">in_double</t>
  </si>
  <si>
    <t xml:space="preserve">V</t>
  </si>
  <si>
    <t xml:space="preserve">RB</t>
  </si>
  <si>
    <t xml:space="preserve">공중 탭</t>
  </si>
  <si>
    <t xml:space="preserve">해금 후</t>
  </si>
  <si>
    <r>
      <rPr>
        <sz val="10"/>
        <rFont val="Noto Sans CJK SC"/>
        <family val="2"/>
      </rPr>
      <t xml:space="preserve">공중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</si>
  <si>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in_dash</t>
  </si>
  <si>
    <t xml:space="preserve">Shift</t>
  </si>
  <si>
    <t xml:space="preserve">LB</t>
  </si>
  <si>
    <t xml:space="preserve">탭</t>
  </si>
  <si>
    <t xml:space="preserve">in_downstrike</t>
  </si>
  <si>
    <t xml:space="preserve">C</t>
  </si>
  <si>
    <t xml:space="preserve">↓ + A</t>
  </si>
  <si>
    <t xml:space="preserve">최소 높이 이상</t>
  </si>
  <si>
    <t xml:space="preserve">최소 높이를 두어 무제한 연타를 막음</t>
  </si>
  <si>
    <t xml:space="preserve">in_interact</t>
  </si>
  <si>
    <t xml:space="preserve">상호작용</t>
  </si>
  <si>
    <t xml:space="preserve">E</t>
  </si>
  <si>
    <t xml:space="preserve">Y</t>
  </si>
  <si>
    <t xml:space="preserve">홀드</t>
  </si>
  <si>
    <t xml:space="preserve">in_parry</t>
  </si>
  <si>
    <t xml:space="preserve">X</t>
  </si>
  <si>
    <t xml:space="preserve">쿨다운 중 입력은 버퍼링하지 않음</t>
  </si>
  <si>
    <t xml:space="preserve">in_heal</t>
  </si>
  <si>
    <t xml:space="preserve">Z</t>
  </si>
  <si>
    <t xml:space="preserve">B</t>
  </si>
  <si>
    <r>
      <rPr>
        <sz val="10"/>
        <rFont val="Noto Sans CJK SC"/>
        <family val="2"/>
      </rPr>
      <t xml:space="preserve">지상 스탠딩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잔불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칸 이상</t>
    </r>
  </si>
  <si>
    <t xml:space="preserve">홀드 중 완전 고정</t>
  </si>
  <si>
    <t xml:space="preserve">in_menu</t>
  </si>
  <si>
    <r>
      <rPr>
        <sz val="10"/>
        <rFont val="Noto Sans CJK SC"/>
        <family val="2"/>
      </rPr>
      <t xml:space="preserve">메뉴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일시정지</t>
    </r>
  </si>
  <si>
    <t xml:space="preserve">Esc</t>
  </si>
  <si>
    <t xml:space="preserve">Start</t>
  </si>
  <si>
    <t xml:space="preserve">in_map</t>
  </si>
  <si>
    <t xml:space="preserve">지도</t>
  </si>
  <si>
    <t xml:space="preserve">M</t>
  </si>
  <si>
    <t xml:space="preserve">Back</t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</si>
  <si>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6.11 · 6.2.1 · 6.4.3 · 6.7 · 6.10. </t>
    </r>
    <r>
      <rPr>
        <i val="true"/>
        <sz val="9"/>
        <color rgb="FF666666"/>
        <rFont val="Noto Sans CJK SC"/>
        <family val="2"/>
      </rPr>
      <t xml:space="preserve">쿨다운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버퍼 값은 각 액션 절에서 끌어와 한 표로 모았습니다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</si>
  <si>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06. </t>
    </r>
    <r>
      <rPr>
        <b val="true"/>
        <sz val="12"/>
        <rFont val="Noto Sans CJK SC"/>
        <family val="2"/>
      </rPr>
      <t xml:space="preserve">액션 피드백 매트릭스 — 기획서 </t>
    </r>
    <r>
      <rPr>
        <b val="true"/>
        <sz val="12"/>
        <rFont val="Arial"/>
        <family val="0"/>
        <charset val="1"/>
      </rPr>
      <t xml:space="preserve">7.1~7.6 </t>
    </r>
    <r>
      <rPr>
        <b val="true"/>
        <sz val="12"/>
        <rFont val="Noto Sans CJK SC"/>
        <family val="2"/>
      </rPr>
      <t xml:space="preserve">여섯 표를 컬럼이 같아 한 장으로 통합</t>
    </r>
  </si>
  <si>
    <t xml:space="preserve">feedback_id (PK)</t>
  </si>
  <si>
    <t xml:space="preserve">action_group</t>
  </si>
  <si>
    <t xml:space="preserve">knockback</t>
  </si>
  <si>
    <t xml:space="preserve">shake_level (FK→00_Schema)</t>
  </si>
  <si>
    <t xml:space="preserve">sfx</t>
  </si>
  <si>
    <t xml:space="preserve">vfx</t>
  </si>
  <si>
    <t xml:space="preserve">rumble</t>
  </si>
  <si>
    <t xml:space="preserve">fb_jump</t>
  </si>
  <si>
    <r>
      <rPr>
        <sz val="10"/>
        <rFont val="Noto Sans CJK SC"/>
        <family val="2"/>
      </rPr>
      <t xml:space="preserve">점프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탭 발동</t>
    </r>
    <r>
      <rPr>
        <sz val="10"/>
        <rFont val="Arial"/>
        <family val="0"/>
        <charset val="1"/>
      </rPr>
      <t xml:space="preserve">)</t>
    </r>
  </si>
  <si>
    <t xml:space="preserve">짧은 도약음</t>
  </si>
  <si>
    <t xml:space="preserve">발 아래 먼지 이펙트</t>
  </si>
  <si>
    <r>
      <rPr>
        <sz val="10"/>
        <rFont val="Noto Sans CJK SC"/>
        <family val="2"/>
      </rPr>
      <t xml:space="preserve">이동 시작을 가볍게 인지시킴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수백 번 반복되므로 피로하지 않도록 최소화</t>
    </r>
  </si>
  <si>
    <t xml:space="preserve">fb_land</t>
  </si>
  <si>
    <t xml:space="preserve">착지</t>
  </si>
  <si>
    <t xml:space="preserve">짧은 착지음</t>
  </si>
  <si>
    <t xml:space="preserve">착지 먼지 이펙트</t>
  </si>
  <si>
    <t xml:space="preserve">약한 단발 펄스</t>
  </si>
  <si>
    <r>
      <rPr>
        <sz val="10"/>
        <rFont val="Noto Sans CJK SC"/>
        <family val="2"/>
      </rPr>
      <t xml:space="preserve">리듬의 기준점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약한 진동으로 바닥에 닿았다는 감각만 전달</t>
    </r>
  </si>
  <si>
    <t xml:space="preserve">fb_charge1</t>
  </si>
  <si>
    <t xml:space="preserve">차지 점프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</si>
  <si>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 진입</t>
    </r>
  </si>
  <si>
    <r>
      <rPr>
        <sz val="10"/>
        <rFont val="Noto Sans CJK SC"/>
        <family val="2"/>
      </rPr>
      <t xml:space="preserve">틱 </t>
    </r>
    <r>
      <rPr>
        <sz val="10"/>
        <rFont val="Arial"/>
        <family val="0"/>
        <charset val="1"/>
      </rPr>
      <t xml:space="preserve">SFX</t>
    </r>
  </si>
  <si>
    <t xml:space="preserve">삽날 흰빛</t>
  </si>
  <si>
    <t xml:space="preserve">짧은 펄스</t>
  </si>
  <si>
    <r>
      <rPr>
        <sz val="10"/>
        <rFont val="Noto Sans CJK SC"/>
        <family val="2"/>
      </rPr>
      <t xml:space="preserve">준비 시작을 손과 눈으로 동시에 알림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색상이 단계를 직관적으로 구분하게 함</t>
    </r>
  </si>
  <si>
    <t xml:space="preserve">fb_charge2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</si>
  <si>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 진입</t>
    </r>
  </si>
  <si>
    <t xml:space="preserve">삽날 푸른빛</t>
  </si>
  <si>
    <r>
      <rPr>
        <sz val="10"/>
        <rFont val="Noto Sans CJK SC"/>
        <family val="2"/>
      </rPr>
      <t xml:space="preserve">단계 상승을 명확히 구분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단과 다른 색상으로 현재 단계를 파악</t>
    </r>
  </si>
  <si>
    <t xml:space="preserve">fb_charge3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</si>
  <si>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풀차지</t>
    </r>
    <r>
      <rPr>
        <sz val="10"/>
        <rFont val="Arial"/>
        <family val="0"/>
        <charset val="1"/>
      </rPr>
      <t xml:space="preserve">)</t>
    </r>
  </si>
  <si>
    <t xml:space="preserve">청아한 종소리</t>
  </si>
  <si>
    <r>
      <rPr>
        <sz val="10"/>
        <rFont val="Noto Sans CJK SC"/>
        <family val="2"/>
      </rPr>
      <t xml:space="preserve">삽날 금빛 번쩍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파장 이펙트</t>
    </r>
  </si>
  <si>
    <t xml:space="preserve">강한 펄스</t>
  </si>
  <si>
    <r>
      <rPr>
        <sz val="10"/>
        <rFont val="Noto Sans CJK SC"/>
        <family val="2"/>
      </rPr>
      <t xml:space="preserve">최고 단계 도달을 강하게 알림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 놓으면 최대 위력이라는 신호</t>
    </r>
  </si>
  <si>
    <t xml:space="preserve">fb_charge_fire</t>
  </si>
  <si>
    <t xml:space="preserve">차지 점프 발동</t>
  </si>
  <si>
    <r>
      <rPr>
        <sz val="10"/>
        <rFont val="Noto Sans CJK SC"/>
        <family val="2"/>
      </rPr>
      <t xml:space="preserve">도약음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차지 해제음</t>
    </r>
  </si>
  <si>
    <r>
      <rPr>
        <sz val="10"/>
        <rFont val="Noto Sans CJK SC"/>
        <family val="2"/>
      </rPr>
      <t xml:space="preserve">발 아래 강한 이펙트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단계 색상</t>
    </r>
    <r>
      <rPr>
        <sz val="10"/>
        <rFont val="Arial"/>
        <family val="0"/>
        <charset val="1"/>
      </rPr>
      <t xml:space="preserve">)</t>
    </r>
  </si>
  <si>
    <t xml:space="preserve">단계 비례 펄스</t>
  </si>
  <si>
    <t xml:space="preserve">단계에 비례한 발동감으로 높이 차이를 몸으로 인지시킴</t>
  </si>
  <si>
    <t xml:space="preserve">fb_dash_fire</t>
  </si>
  <si>
    <t xml:space="preserve">돌진 발동</t>
  </si>
  <si>
    <r>
      <rPr>
        <sz val="10"/>
        <rFont val="Noto Sans CJK SC"/>
        <family val="2"/>
      </rPr>
      <t xml:space="preserve">「미정」 </t>
    </r>
    <r>
      <rPr>
        <sz val="10"/>
        <rFont val="Arial"/>
        <family val="0"/>
        <charset val="1"/>
      </rPr>
      <t xml:space="preserve">(fx </t>
    </r>
    <r>
      <rPr>
        <sz val="10"/>
        <rFont val="Noto Sans CJK SC"/>
        <family val="2"/>
      </rPr>
      <t xml:space="preserve">라벨 등록 별건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</si>
  <si>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「미정」 — 강화형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그림자 돌진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잔상 트레일</t>
    </r>
  </si>
  <si>
    <r>
      <rPr>
        <sz val="10"/>
        <rFont val="Noto Sans CJK SC"/>
        <family val="2"/>
      </rPr>
      <t xml:space="preserve">쿨다운 </t>
    </r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초마다 반복되는 이동기이므로 발동 연출은 가볍게 — 이동 결과로 말하게 함</t>
    </r>
  </si>
  <si>
    <t xml:space="preserve">fb_dash_hit</t>
  </si>
  <si>
    <t xml:space="preserve">돌진 명중</t>
  </si>
  <si>
    <t xml:space="preserve">데미지 숫자 팝업</t>
  </si>
  <si>
    <r>
      <rPr>
        <sz val="10"/>
        <rFont val="Noto Sans CJK SC"/>
        <family val="2"/>
      </rPr>
      <t xml:space="preserve">히트스톱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프레임</t>
    </r>
    <r>
      <rPr>
        <sz val="10"/>
        <rFont val="Arial"/>
        <family val="0"/>
        <charset val="1"/>
      </rPr>
      <t xml:space="preserve">(Medium)</t>
    </r>
    <r>
      <rPr>
        <sz val="10"/>
        <rFont val="Noto Sans CJK SC"/>
        <family val="2"/>
      </rPr>
      <t xml:space="preserve">으로 관통 이동 중에도 베었다는 순간을 끊어 전달</t>
    </r>
  </si>
  <si>
    <t xml:space="preserve">fb_dash_cool</t>
  </si>
  <si>
    <t xml:space="preserve">쿨다운 중</t>
  </si>
  <si>
    <r>
      <rPr>
        <sz val="10"/>
        <rFont val="Noto Sans CJK SC"/>
        <family val="2"/>
      </rPr>
      <t xml:space="preserve">삽 스프라이트 </t>
    </r>
    <r>
      <rPr>
        <sz val="10"/>
        <rFont val="Arial"/>
        <family val="0"/>
        <charset val="1"/>
      </rPr>
      <t xml:space="preserve">dim (</t>
    </r>
    <r>
      <rPr>
        <sz val="10"/>
        <rFont val="Noto Sans CJK SC"/>
        <family val="2"/>
      </rPr>
      <t xml:space="preserve">회청색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</si>
  <si>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HUD </t>
    </r>
    <r>
      <rPr>
        <sz val="10"/>
        <rFont val="Noto Sans CJK SC"/>
        <family val="2"/>
      </rPr>
      <t xml:space="preserve">위젯 없이 캐릭터 몸에 상태를 싣는 디제틱 기조 — 시선을 화면 구석으로 보내지 않음</t>
    </r>
  </si>
  <si>
    <t xml:space="preserve">fb_dash_ready</t>
  </si>
  <si>
    <t xml:space="preserve">재사용 복귀</t>
  </si>
  <si>
    <r>
      <rPr>
        <sz val="10"/>
        <rFont val="Noto Sans CJK SC"/>
        <family val="2"/>
      </rPr>
      <t xml:space="preserve">삽 밝기 플래시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(0.12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</si>
  <si>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t xml:space="preserve">다시 쓸 수 있다를 조준 시야 안에서 알림 — 돌진 체인의 박자 신호</t>
  </si>
  <si>
    <t xml:space="preserve">fb_ds_ready</t>
  </si>
  <si>
    <r>
      <rPr>
        <sz val="10"/>
        <rFont val="Noto Sans CJK SC"/>
        <family val="2"/>
      </rPr>
      <t xml:space="preserve">발동 가능 상태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고도 충족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</si>
  <si>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짧은 차임 </t>
    </r>
    <r>
      <rPr>
        <sz val="10"/>
        <rFont val="Arial"/>
        <family val="0"/>
        <charset val="1"/>
      </rPr>
      <t xml:space="preserve">SFX</t>
    </r>
  </si>
  <si>
    <t xml:space="preserve">캐릭터 전체 하이라이트</t>
  </si>
  <si>
    <r>
      <rPr>
        <sz val="10"/>
        <rFont val="Noto Sans CJK SC"/>
        <family val="2"/>
      </rPr>
      <t xml:space="preserve">지금 쓸 수 있다는 기회를 조용히 알림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항상 켜져 있어도 피로하지 않아야 함</t>
    </r>
  </si>
  <si>
    <t xml:space="preserve">fb_ds_fire</t>
  </si>
  <si>
    <t xml:space="preserve">발동</t>
  </si>
  <si>
    <t xml:space="preserve">날카로운 하강음</t>
  </si>
  <si>
    <t xml:space="preserve">하강 잔상 이펙트</t>
  </si>
  <si>
    <t xml:space="preserve">중간 진동</t>
  </si>
  <si>
    <r>
      <rPr>
        <sz val="10"/>
        <rFont val="Noto Sans CJK SC"/>
        <family val="2"/>
      </rPr>
      <t xml:space="preserve">빠른 하강 속도</t>
    </r>
    <r>
      <rPr>
        <sz val="10"/>
        <rFont val="Arial"/>
        <family val="0"/>
        <charset val="1"/>
      </rPr>
      <t xml:space="preserve">(50 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/s)</t>
    </r>
    <r>
      <rPr>
        <sz val="10"/>
        <rFont val="Noto Sans CJK SC"/>
        <family val="2"/>
      </rPr>
      <t xml:space="preserve">를 시각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청각으로 전달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 낙하와 확연히 다른 느낌</t>
    </r>
  </si>
  <si>
    <t xml:space="preserve">fb_ds_hit</t>
  </si>
  <si>
    <t xml:space="preserve">적 타격</t>
  </si>
  <si>
    <r>
      <rPr>
        <sz val="10"/>
        <rFont val="Arial"/>
        <family val="0"/>
        <charset val="1"/>
      </rPr>
      <t xml:space="preserve">Impulse 0.25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</si>
  <si>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타격음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튕김음</t>
    </r>
  </si>
  <si>
    <r>
      <rPr>
        <sz val="10"/>
        <rFont val="Noto Sans CJK SC"/>
        <family val="2"/>
      </rPr>
      <t xml:space="preserve">타격 이펙트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바운스</t>
    </r>
  </si>
  <si>
    <t xml:space="preserve">강한 단발 펄스</t>
  </si>
  <si>
    <r>
      <rPr>
        <sz val="10"/>
        <rFont val="Noto Sans CJK SC"/>
        <family val="2"/>
      </rPr>
      <t xml:space="preserve">전투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이동의 핵심 순간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히트감 극대화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바운스로 다음 행동 연결감 부여</t>
    </r>
  </si>
  <si>
    <t xml:space="preserve">fb_stomp_hit</t>
  </si>
  <si>
    <r>
      <rPr>
        <sz val="10"/>
        <rFont val="Noto Sans CJK SC"/>
        <family val="2"/>
      </rPr>
      <t xml:space="preserve">일반 점프 밟기 </t>
    </r>
    <r>
      <rPr>
        <sz val="10"/>
        <rFont val="Arial"/>
        <family val="0"/>
        <charset val="1"/>
      </rPr>
      <t xml:space="preserve">(ATK×0.5)</t>
    </r>
  </si>
  <si>
    <t xml:space="preserve">가벼운 톡 소리</t>
  </si>
  <si>
    <r>
      <rPr>
        <sz val="10"/>
        <rFont val="Noto Sans CJK SC"/>
        <family val="2"/>
      </rPr>
      <t xml:space="preserve">작은 밟기 이펙트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바운스</t>
    </r>
  </si>
  <si>
    <r>
      <rPr>
        <sz val="10"/>
        <rFont val="Noto Sans CJK SC"/>
        <family val="2"/>
      </rPr>
      <t xml:space="preserve">다운 스트라이크 없이도 적을 무력화하는 부드러운 옵션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피드백을 한 단계 약하게 두어 위계를 명확히 함</t>
    </r>
  </si>
  <si>
    <t xml:space="preserve">fb_ds_land</t>
  </si>
  <si>
    <r>
      <rPr>
        <sz val="10"/>
        <rFont val="Noto Sans CJK SC"/>
        <family val="2"/>
      </rPr>
      <t xml:space="preserve">바닥 착지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균열 블록 파괴</t>
    </r>
    <r>
      <rPr>
        <sz val="10"/>
        <rFont val="Arial"/>
        <family val="0"/>
        <charset val="1"/>
      </rPr>
      <t xml:space="preserve">)</t>
    </r>
  </si>
  <si>
    <t xml:space="preserve">둔탁한 착지음</t>
  </si>
  <si>
    <r>
      <rPr>
        <sz val="10"/>
        <rFont val="Noto Sans CJK SC"/>
        <family val="2"/>
      </rPr>
      <t xml:space="preserve">균열 블록 파괴 파편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파괴 시에만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</si>
  <si>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충격파 데미지 폐기 — 착지 시 균열 블록 파괴 신호만 유지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 착지 피드백과 분리</t>
    </r>
  </si>
  <si>
    <t xml:space="preserve">fb_terrain</t>
  </si>
  <si>
    <t xml:space="preserve">지형 파괴</t>
  </si>
  <si>
    <t xml:space="preserve">파괴음</t>
  </si>
  <si>
    <t xml:space="preserve">블록 파괴 파편 이펙트</t>
  </si>
  <si>
    <r>
      <rPr>
        <sz val="10"/>
        <rFont val="Noto Sans CJK SC"/>
        <family val="2"/>
      </rPr>
      <t xml:space="preserve">탐험 루트 개방의 성취감 전달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 경로가 열렸다는 명확한 시각 신호</t>
    </r>
  </si>
  <si>
    <t xml:space="preserve">fb_parry_ok</t>
  </si>
  <si>
    <t xml:space="preserve">패링 성공</t>
  </si>
  <si>
    <r>
      <rPr>
        <sz val="10"/>
        <rFont val="Noto Sans CJK SC"/>
        <family val="2"/>
      </rPr>
      <t xml:space="preserve">금속 튕김음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날카롭고 짧게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</si>
  <si>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흰 섬광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슬로우모션 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배율 </t>
    </r>
    <r>
      <rPr>
        <sz val="10"/>
        <rFont val="Arial"/>
        <family val="0"/>
        <charset val="1"/>
      </rPr>
      <t xml:space="preserve">0.3) + </t>
    </r>
    <r>
      <rPr>
        <sz val="10"/>
        <rFont val="Noto Sans CJK SC"/>
        <family val="2"/>
      </rPr>
      <t xml:space="preserve">히트스톱 </t>
    </r>
    <r>
      <rPr>
        <sz val="10"/>
        <rFont val="Arial"/>
        <family val="0"/>
        <charset val="1"/>
      </rPr>
      <t xml:space="preserve">Weak 6</t>
    </r>
    <r>
      <rPr>
        <sz val="10"/>
        <rFont val="Noto Sans CJK SC"/>
        <family val="2"/>
      </rPr>
      <t xml:space="preserve">프레임</t>
    </r>
  </si>
  <si>
    <r>
      <rPr>
        <sz val="10"/>
        <rFont val="Noto Sans CJK SC"/>
        <family val="2"/>
      </rPr>
      <t xml:space="preserve">게임 전체에서 가장 강한 피드백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해냈다는 감각을 극대화해 패링을 계속 시도하게 만드는 정적 보상</t>
    </r>
  </si>
  <si>
    <t xml:space="preserve">fb_parry_fail</t>
  </si>
  <si>
    <r>
      <rPr>
        <sz val="10"/>
        <rFont val="Noto Sans CJK SC"/>
        <family val="2"/>
      </rPr>
      <t xml:space="preserve">패링 실패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</si>
  <si>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0.6 </t>
    </r>
    <r>
      <rPr>
        <sz val="10"/>
        <rFont val="Noto Sans CJK SC"/>
        <family val="2"/>
      </rPr>
      <t xml:space="preserve">타일</t>
    </r>
  </si>
  <si>
    <t xml:space="preserve">피격음</t>
  </si>
  <si>
    <r>
      <rPr>
        <sz val="10"/>
        <rFont val="Noto Sans CJK SC"/>
        <family val="2"/>
      </rPr>
      <t xml:space="preserve">붉은빛 플래시 </t>
    </r>
    <r>
      <rPr>
        <sz val="10"/>
        <rFont val="Arial"/>
        <family val="0"/>
        <charset val="1"/>
      </rPr>
      <t xml:space="preserve">0.05</t>
    </r>
    <r>
      <rPr>
        <sz val="10"/>
        <rFont val="Noto Sans CJK SC"/>
        <family val="2"/>
      </rPr>
      <t xml:space="preserve">초</t>
    </r>
  </si>
  <si>
    <t xml:space="preserve">짧은 단발 진동</t>
  </si>
  <si>
    <t xml:space="preserve">일반 피격과 동일하게 처리해 패링 시도 자체에 추가 패널티 인상을 주지 않음</t>
  </si>
  <si>
    <t xml:space="preserve">fb_hit</t>
  </si>
  <si>
    <r>
      <rPr>
        <sz val="10"/>
        <rFont val="Noto Sans CJK SC"/>
        <family val="2"/>
      </rPr>
      <t xml:space="preserve">피격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회복</t>
    </r>
  </si>
  <si>
    <t xml:space="preserve">일반 피격</t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</si>
  <si>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마스크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강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마스크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</si>
  <si>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붉은빛 플래시 </t>
    </r>
    <r>
      <rPr>
        <sz val="10"/>
        <rFont val="Arial"/>
        <family val="0"/>
        <charset val="1"/>
      </rPr>
      <t xml:space="preserve">0.05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히트스톱 </t>
    </r>
    <r>
      <rPr>
        <sz val="10"/>
        <rFont val="Arial"/>
        <family val="0"/>
        <charset val="1"/>
      </rPr>
      <t xml:space="preserve">Medium 10</t>
    </r>
    <r>
      <rPr>
        <sz val="10"/>
        <rFont val="Noto Sans CJK SC"/>
        <family val="2"/>
      </rPr>
      <t xml:space="preserve">프레임</t>
    </r>
  </si>
  <si>
    <t xml:space="preserve">데미지 양에 따라 셰이크 강도를 달리해 얼마나 위험한 공격인가를 즉시 전달</t>
  </si>
  <si>
    <t xml:space="preserve">fb_ember</t>
  </si>
  <si>
    <r>
      <rPr>
        <sz val="10"/>
        <rFont val="Noto Sans CJK SC"/>
        <family val="2"/>
      </rPr>
      <t xml:space="preserve">자원 충전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적 타격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</si>
  <si>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충전음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짧게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</si>
  <si>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잔불 게이지 </t>
    </r>
    <r>
      <rPr>
        <sz val="10"/>
        <rFont val="Arial"/>
        <family val="0"/>
        <charset val="1"/>
      </rPr>
      <t xml:space="preserve">+1 </t>
    </r>
    <r>
      <rPr>
        <sz val="10"/>
        <rFont val="Noto Sans CJK SC"/>
        <family val="2"/>
      </rPr>
      <t xml:space="preserve">연출</t>
    </r>
  </si>
  <si>
    <r>
      <rPr>
        <sz val="10"/>
        <rFont val="Noto Sans CJK SC"/>
        <family val="2"/>
      </rPr>
      <t xml:space="preserve">공격이 보상으로 연결된다는 감각을 반복 강화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짧고 경쾌하게 처리해 전투 리듬을 방해하지 않음</t>
    </r>
  </si>
  <si>
    <t xml:space="preserve">fb_heal_start</t>
  </si>
  <si>
    <t xml:space="preserve">회복 차지 시작</t>
  </si>
  <si>
    <t xml:space="preserve">차지 시작음</t>
  </si>
  <si>
    <r>
      <rPr>
        <sz val="10"/>
        <rFont val="Noto Sans CJK SC"/>
        <family val="2"/>
      </rPr>
      <t xml:space="preserve">회복 게이지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활성화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캐릭터 고정</t>
    </r>
  </si>
  <si>
    <r>
      <rPr>
        <sz val="10"/>
        <rFont val="Noto Sans CJK SC"/>
        <family val="2"/>
      </rPr>
      <t xml:space="preserve">지금 무방비 상태임을 약한 지속 진동으로 알림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위험 신호로서의 피드백</t>
    </r>
  </si>
  <si>
    <t xml:space="preserve">fb_heal_done</t>
  </si>
  <si>
    <t xml:space="preserve">회복 완료</t>
  </si>
  <si>
    <t xml:space="preserve">회복 완료음</t>
  </si>
  <si>
    <r>
      <rPr>
        <sz val="10"/>
        <rFont val="Noto Sans CJK SC"/>
        <family val="2"/>
      </rPr>
      <t xml:space="preserve">회복 이펙트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마스크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칸 채워짐</t>
    </r>
  </si>
  <si>
    <t xml:space="preserve">중간 단발 펄스</t>
  </si>
  <si>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초 긴장의 결과물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명확한 시각 연출로 회복의 성취감 전달</t>
    </r>
  </si>
  <si>
    <t xml:space="preserve">fb_heal_cancel</t>
  </si>
  <si>
    <t xml:space="preserve">회복 취소</t>
  </si>
  <si>
    <r>
      <rPr>
        <sz val="10"/>
        <rFont val="Noto Sans CJK SC"/>
        <family val="2"/>
      </rPr>
      <t xml:space="preserve">취소음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짧게</t>
    </r>
    <r>
      <rPr>
        <sz val="10"/>
        <rFont val="Arial"/>
        <family val="0"/>
        <charset val="1"/>
      </rPr>
      <t xml:space="preserve">)</t>
    </r>
  </si>
  <si>
    <t xml:space="preserve">회복 게이지 소멸</t>
  </si>
  <si>
    <r>
      <rPr>
        <sz val="10"/>
        <rFont val="Noto Sans CJK SC"/>
        <family val="2"/>
      </rPr>
      <t xml:space="preserve">피격으로 회복이 끊겼음을 빠르게 인지시킴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과한 피드백은 피격의 혼란을 가중시킴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</si>
  <si>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7.1~7.6 · 9.3.1. shake_level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00_Schema</t>
    </r>
    <r>
      <rPr>
        <i val="true"/>
        <sz val="9"/>
        <color rgb="FF666666"/>
        <rFont val="Noto Sans CJK SC"/>
        <family val="2"/>
      </rPr>
      <t xml:space="preserve">의 진동 강도 </t>
    </r>
    <r>
      <rPr>
        <i val="true"/>
        <sz val="9"/>
        <color rgb="FF666666"/>
        <rFont val="Arial"/>
        <family val="0"/>
        <charset val="1"/>
      </rPr>
      <t xml:space="preserve">enum</t>
    </r>
    <r>
      <rPr>
        <i val="true"/>
        <sz val="9"/>
        <color rgb="FF666666"/>
        <rFont val="Noto Sans CJK SC"/>
        <family val="2"/>
      </rPr>
      <t xml:space="preserve">을 참조합니다</t>
    </r>
    <r>
      <rPr>
        <i val="true"/>
        <sz val="9"/>
        <color rgb="FF666666"/>
        <rFont val="Arial"/>
        <family val="0"/>
        <charset val="1"/>
      </rPr>
      <t xml:space="preserve">(FK). </t>
    </r>
    <r>
      <rPr>
        <i val="true"/>
        <sz val="9"/>
        <color rgb="FF666666"/>
        <rFont val="Noto Sans CJK SC"/>
        <family val="2"/>
      </rPr>
      <t xml:space="preserve">기획서가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미정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이라 적은 칸은 「미정」으로 그대로 둡니다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</si>
  <si>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07. </t>
    </r>
    <r>
      <rPr>
        <b val="true"/>
        <sz val="12"/>
        <rFont val="Noto Sans CJK SC"/>
        <family val="2"/>
      </rPr>
      <t xml:space="preserve">레벨 디자인 제약 — 구간별 발판 배치 기준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천장 높이 유형</t>
    </r>
  </si>
  <si>
    <t xml:space="preserve">prereq_ability</t>
  </si>
  <si>
    <t xml:space="preserve">allowed_stage_fk (→01)</t>
  </si>
  <si>
    <t xml:space="preserve">max_platform_tile</t>
  </si>
  <si>
    <t xml:space="preserve">apex_ref</t>
  </si>
  <si>
    <t xml:space="preserve">platform_check</t>
  </si>
  <si>
    <t xml:space="preserve">max_gap_tile</t>
  </si>
  <si>
    <t xml:space="preserve">gap_ref</t>
  </si>
  <si>
    <t xml:space="preserve">gap_check</t>
  </si>
  <si>
    <t xml:space="preserve">ceiling_tile</t>
  </si>
  <si>
    <t xml:space="preserve">usable_jump</t>
  </si>
  <si>
    <t xml:space="preserve">design_intent</t>
  </si>
  <si>
    <t xml:space="preserve">lv_tutorial</t>
  </si>
  <si>
    <t xml:space="preserve">구간배치</t>
  </si>
  <si>
    <r>
      <rPr>
        <sz val="10"/>
        <rFont val="Noto Sans CJK SC"/>
        <family val="2"/>
      </rPr>
      <t xml:space="preserve">초반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튜토리얼</t>
    </r>
    <r>
      <rPr>
        <sz val="10"/>
        <rFont val="Arial"/>
        <family val="0"/>
        <charset val="1"/>
      </rPr>
      <t xml:space="preserve">)</t>
    </r>
  </si>
  <si>
    <t xml:space="preserve">시작 보유만</t>
  </si>
  <si>
    <r>
      <rPr>
        <sz val="10"/>
        <rFont val="Noto Sans CJK SC"/>
        <family val="2"/>
      </rPr>
      <t xml:space="preserve">차지 없이 통과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조작 학습</t>
    </r>
  </si>
  <si>
    <t xml:space="preserve">lv_early</t>
  </si>
  <si>
    <r>
      <rPr>
        <sz val="10"/>
        <rFont val="Noto Sans CJK SC"/>
        <family val="2"/>
      </rPr>
      <t xml:space="preserve">초반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</si>
  <si>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 유도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강제하지 않음</t>
    </r>
  </si>
  <si>
    <t xml:space="preserve">lv_dash</t>
  </si>
  <si>
    <r>
      <rPr>
        <sz val="10"/>
        <rFont val="Noto Sans CJK SC"/>
        <family val="2"/>
      </rPr>
      <t xml:space="preserve">돌진</t>
    </r>
    <r>
      <rPr>
        <sz val="10"/>
        <rFont val="Arial"/>
        <family val="0"/>
        <charset val="1"/>
      </rPr>
      <t xml:space="preserve">(dash) </t>
    </r>
    <r>
      <rPr>
        <sz val="10"/>
        <rFont val="Noto Sans CJK SC"/>
        <family val="2"/>
      </rPr>
      <t xml:space="preserve">이후</t>
    </r>
  </si>
  <si>
    <t xml:space="preserve">수평 어휘 확장 — 갭 기준선 자체가 바뀜</t>
  </si>
  <si>
    <t xml:space="preserve">lv_mid</t>
  </si>
  <si>
    <t xml:space="preserve">중반</t>
  </si>
  <si>
    <t xml:space="preserve">차지 단계 선택 전략 발생</t>
  </si>
  <si>
    <t xml:space="preserve">lv_late</t>
  </si>
  <si>
    <t xml:space="preserve">후반</t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</si>
  <si>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더블 점프</t>
    </r>
  </si>
  <si>
    <t xml:space="preserve">특정 단계 강제 챌린지 허용</t>
  </si>
  <si>
    <t xml:space="preserve">lv_secret</t>
  </si>
  <si>
    <t xml:space="preserve">숨겨진 경로</t>
  </si>
  <si>
    <t xml:space="preserve">해당 게이트 능력</t>
  </si>
  <si>
    <r>
      <rPr>
        <sz val="10"/>
        <rFont val="Noto Sans CJK SC"/>
        <family val="2"/>
      </rPr>
      <t xml:space="preserve">탐험 보상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기획서 원문은 </t>
    </r>
    <r>
      <rPr>
        <sz val="10"/>
        <rFont val="Arial"/>
        <family val="0"/>
        <charset val="1"/>
      </rPr>
      <t xml:space="preserve">'7.75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/ 6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하한 표기 — 상한으로 읽으면 안 됨</t>
    </r>
  </si>
  <si>
    <t xml:space="preserve">lv_boss</t>
  </si>
  <si>
    <t xml:space="preserve">보스룸</t>
  </si>
  <si>
    <t xml:space="preserve">무관</t>
  </si>
  <si>
    <r>
      <rPr>
        <sz val="10"/>
        <rFont val="Noto Sans CJK SC"/>
        <family val="2"/>
      </rPr>
      <t xml:space="preserve">전투 리듬 우선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이동 부담 최소화</t>
    </r>
  </si>
  <si>
    <t xml:space="preserve">lv_ceil_3</t>
  </si>
  <si>
    <t xml:space="preserve">천장유형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</si>
  <si>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칸 — 협소</t>
    </r>
  </si>
  <si>
    <r>
      <rPr>
        <sz val="10"/>
        <rFont val="Noto Sans CJK SC"/>
        <family val="2"/>
      </rPr>
      <t xml:space="preserve">없음 — 발이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칸만 떠도 머리가 닿는다</t>
    </r>
  </si>
  <si>
    <r>
      <rPr>
        <sz val="10"/>
        <rFont val="Noto Sans CJK SC"/>
        <family val="2"/>
      </rPr>
      <t xml:space="preserve">통로 최소 높이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파이프 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 간 틈새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돌진 저천장 게이트가 이 대역 — 점프로 못 넘고 돌진으로만 통과</t>
    </r>
  </si>
  <si>
    <t xml:space="preserve">lv_ceil_4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</si>
  <si>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칸 — 저천장</t>
    </r>
  </si>
  <si>
    <r>
      <rPr>
        <sz val="10"/>
        <rFont val="Noto Sans CJK SC"/>
        <family val="2"/>
      </rPr>
      <t xml:space="preserve">없음 —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단 탭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칸 필요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절단</t>
    </r>
  </si>
  <si>
    <r>
      <rPr>
        <sz val="10"/>
        <rFont val="Noto Sans CJK SC"/>
        <family val="2"/>
      </rPr>
      <t xml:space="preserve">의도적 압박 구간에만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이동 리듬이 끊기므로 연속 배치 금지</t>
    </r>
  </si>
  <si>
    <t xml:space="preserve">lv_ceil_56</t>
  </si>
  <si>
    <r>
      <rPr>
        <sz val="10"/>
        <rFont val="Arial"/>
        <family val="0"/>
        <charset val="1"/>
      </rPr>
      <t xml:space="preserve">5~6</t>
    </r>
    <r>
      <rPr>
        <sz val="10"/>
        <rFont val="Noto Sans CJK SC"/>
        <family val="2"/>
      </rPr>
      <t xml:space="preserve">칸 — 기본 이동</t>
    </r>
  </si>
  <si>
    <t xml:space="preserve">5~6</t>
  </si>
  <si>
    <r>
      <rPr>
        <sz val="10"/>
        <rFont val="Noto Sans CJK SC"/>
        <family val="2"/>
      </rPr>
      <t xml:space="preserve">일반 이동 구간 전반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통통 튀는 리듬이 성립하는 최소 대역 — 기본값은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칸</t>
    </r>
  </si>
  <si>
    <t xml:space="preserve">lv_ceil_7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</si>
  <si>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칸 — 여유</t>
    </r>
  </si>
  <si>
    <r>
      <rPr>
        <sz val="10"/>
        <rFont val="Noto Sans CJK SC"/>
        <family val="2"/>
      </rPr>
      <t xml:space="preserve">시작 보유 능력을 전부 쓸 수 있는 대역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학습 방 표준</t>
    </r>
  </si>
  <si>
    <t xml:space="preserve">lv_ceil_8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</si>
  <si>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칸 이상 — 개방</t>
    </r>
  </si>
  <si>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이상</t>
    </r>
  </si>
  <si>
    <r>
      <rPr>
        <sz val="10"/>
        <rFont val="Noto Sans CJK SC"/>
        <family val="2"/>
      </rPr>
      <t xml:space="preserve">차지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 이상</t>
    </r>
  </si>
  <si>
    <r>
      <rPr>
        <sz val="10"/>
        <rFont val="Noto Sans CJK SC"/>
        <family val="2"/>
      </rPr>
      <t xml:space="preserve">보스전 입구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개활지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전초기지 주변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대형 적 전투 공간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수직 액션 구간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대각선 연결부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</si>
  <si>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SHOVEL </t>
    </r>
    <r>
      <rPr>
        <i val="true"/>
        <sz val="9"/>
        <color rgb="FF666666"/>
        <rFont val="Noto Sans CJK SC"/>
        <family val="2"/>
      </rPr>
      <t xml:space="preserve">캐릭터 기획서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노션</t>
    </r>
    <r>
      <rPr>
        <i val="true"/>
        <sz val="9"/>
        <color rgb="FF666666"/>
        <rFont val="Arial"/>
        <family val="0"/>
        <charset val="1"/>
      </rPr>
      <t xml:space="preserve">) 8.7 · 8.9. apex_ref · gap_ref</t>
    </r>
    <r>
      <rPr>
        <i val="true"/>
        <sz val="9"/>
        <color rgb="FF666666"/>
        <rFont val="Noto Sans CJK SC"/>
        <family val="2"/>
      </rPr>
      <t xml:space="preserve">는 </t>
    </r>
    <r>
      <rPr>
        <i val="true"/>
        <sz val="9"/>
        <color rgb="FF666666"/>
        <rFont val="Arial"/>
        <family val="0"/>
        <charset val="1"/>
      </rPr>
      <t xml:space="preserve">01_JumpStage</t>
    </r>
    <r>
      <rPr>
        <i val="true"/>
        <sz val="9"/>
        <color rgb="FF666666"/>
        <rFont val="Noto Sans CJK SC"/>
        <family val="2"/>
      </rPr>
      <t xml:space="preserve">를 </t>
    </r>
    <r>
      <rPr>
        <i val="true"/>
        <sz val="9"/>
        <color rgb="FF666666"/>
        <rFont val="Arial"/>
        <family val="0"/>
        <charset val="1"/>
      </rPr>
      <t xml:space="preserve">INDEX/MATCH</t>
    </r>
    <r>
      <rPr>
        <i val="true"/>
        <sz val="9"/>
        <color rgb="FF666666"/>
        <rFont val="Noto Sans CJK SC"/>
        <family val="2"/>
      </rPr>
      <t xml:space="preserve">로 끌어온 값이고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검증 칸은 그 상한을 넘는지 수식이 판정합니다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</si>
  <si>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08. </t>
    </r>
    <r>
      <rPr>
        <b val="true"/>
        <sz val="12"/>
        <rFont val="Noto Sans CJK SC"/>
        <family val="2"/>
      </rPr>
      <t xml:space="preserve">데미지 매트릭스 — 강화 단계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액션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낙하 구간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전 칸 참조 수식</t>
    </r>
    <r>
      <rPr>
        <b val="true"/>
        <sz val="12"/>
        <rFont val="Arial"/>
        <family val="0"/>
        <charset val="1"/>
      </rPr>
      <t xml:space="preserve">)</t>
    </r>
  </si>
  <si>
    <t xml:space="preserve">atk_stage_id (PK)</t>
  </si>
  <si>
    <t xml:space="preserve">atk_value</t>
  </si>
  <si>
    <t xml:space="preserve">dmg_ds_weak</t>
  </si>
  <si>
    <t xml:space="preserve">dmg_ds_mid</t>
  </si>
  <si>
    <t xml:space="preserve">dmg_ds_strong</t>
  </si>
  <si>
    <t xml:space="preserve">ds_strong_minus_dash</t>
  </si>
  <si>
    <t xml:space="preserve">ds_strong_vs_dash_ratio</t>
  </si>
  <si>
    <t xml:space="preserve">hierarchy_check</t>
  </si>
  <si>
    <t xml:space="preserve">mult_ref</t>
  </si>
  <si>
    <r>
      <rPr>
        <sz val="10"/>
        <rFont val="Noto Sans CJK SC"/>
        <family val="2"/>
      </rPr>
      <t xml:space="preserve">배율 </t>
    </r>
    <r>
      <rPr>
        <sz val="10"/>
        <rFont val="Arial"/>
        <family val="0"/>
        <charset val="1"/>
      </rPr>
      <t xml:space="preserve">(02_CombatParam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</si>
  <si>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배율을 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</rPr>
      <t xml:space="preserve">에서 그대로 끌어옵니다</t>
    </r>
    <r>
      <rPr>
        <sz val="10"/>
        <rFont val="Arial"/>
        <family val="0"/>
        <charset val="1"/>
      </rPr>
      <t xml:space="preserve">. 02</t>
    </r>
    <r>
      <rPr>
        <sz val="10"/>
        <rFont val="Noto Sans CJK SC"/>
        <family val="2"/>
      </rPr>
      <t xml:space="preserve">를 고치면 아래 표 전체가 따라옵니다</t>
    </r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</si>
  <si>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</t>
    </r>
    <r>
      <rPr>
        <sz val="10"/>
        <rFont val="Arial"/>
        <family val="0"/>
        <charset val="1"/>
      </rPr>
      <t xml:space="preserve">)</t>
    </r>
  </si>
  <si>
    <t xml:space="preserve">게임 시작 시의 데미지 폭</t>
  </si>
  <si>
    <r>
      <rPr>
        <sz val="10"/>
        <rFont val="Noto Sans CJK SC"/>
        <family val="2"/>
      </rPr>
      <t xml:space="preserve">강화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</t>
    </r>
  </si>
  <si>
    <r>
      <rPr>
        <sz val="10"/>
        <rFont val="Noto Sans CJK SC"/>
        <family val="2"/>
      </rPr>
      <t xml:space="preserve">강화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</t>
    </r>
  </si>
  <si>
    <r>
      <rPr>
        <sz val="10"/>
        <rFont val="Noto Sans CJK SC"/>
        <family val="2"/>
      </rPr>
      <t xml:space="preserve">최대 강화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데미지 폭이 가장 벌어지는 구간</t>
    </r>
  </si>
  <si>
    <r>
      <rPr>
        <i val="true"/>
        <sz val="9"/>
        <color rgb="FF666666"/>
        <rFont val="Arial"/>
        <family val="0"/>
        <charset val="1"/>
      </rPr>
      <t xml:space="preserve">02_CombatParam</t>
    </r>
    <r>
      <rPr>
        <i val="true"/>
        <sz val="9"/>
        <color rgb="FF666666"/>
        <rFont val="Noto Sans CJK SC"/>
        <family val="2"/>
      </rPr>
      <t xml:space="preserve">의 </t>
    </r>
    <r>
      <rPr>
        <i val="true"/>
        <sz val="9"/>
        <color rgb="FF666666"/>
        <rFont val="Arial"/>
        <family val="0"/>
        <charset val="1"/>
      </rPr>
      <t xml:space="preserve">ATK(atk_0~3)</t>
    </r>
    <r>
      <rPr>
        <i val="true"/>
        <sz val="9"/>
        <color rgb="FF666666"/>
        <rFont val="Noto Sans CJK SC"/>
        <family val="2"/>
      </rPr>
      <t xml:space="preserve">와 배율</t>
    </r>
    <r>
      <rPr>
        <i val="true"/>
        <sz val="9"/>
        <color rgb="FF666666"/>
        <rFont val="Arial"/>
        <family val="0"/>
        <charset val="1"/>
      </rPr>
      <t xml:space="preserve">(dmg_stomp · fall_weak/mid/strong · dmg_dash)</t>
    </r>
    <r>
      <rPr>
        <i val="true"/>
        <sz val="9"/>
        <color rgb="FF666666"/>
        <rFont val="Noto Sans CJK SC"/>
        <family val="2"/>
      </rPr>
      <t xml:space="preserve">을 </t>
    </r>
    <r>
      <rPr>
        <i val="true"/>
        <sz val="9"/>
        <color rgb="FF666666"/>
        <rFont val="Arial"/>
        <family val="0"/>
        <charset val="1"/>
      </rPr>
      <t xml:space="preserve">INDEX/MATCH</t>
    </r>
    <r>
      <rPr>
        <i val="true"/>
        <sz val="9"/>
        <color rgb="FF666666"/>
        <rFont val="Noto Sans CJK SC"/>
        <family val="2"/>
      </rPr>
      <t xml:space="preserve">로 끌어와 곱한 값입니다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이 시트에 직접 입력한 수치는 없습니다</t>
    </r>
    <r>
      <rPr>
        <i val="true"/>
        <sz val="9"/>
        <color rgb="FF666666"/>
        <rFont val="Arial"/>
        <family val="0"/>
        <charset val="1"/>
      </rPr>
      <t xml:space="preserve">. hierarchy_check</t>
    </r>
    <r>
      <rPr>
        <i val="true"/>
        <sz val="9"/>
        <color rgb="FF666666"/>
        <rFont val="Noto Sans CJK SC"/>
        <family val="2"/>
      </rPr>
      <t xml:space="preserve">는 강 구간 다운 스트라이크가 삽 돌진보다 센지를 판정합니다</t>
    </r>
    <r>
      <rPr>
        <i val="true"/>
        <sz val="9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</si>
</sst>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2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DE7E9"/>
        <bgColor rgb="FFFFF6E5"/>
      </patternFill>
    </fill>
    <fill>
      <patternFill patternType="solid">
        <fgColor rgb="FFE8F4F1"/>
        <bgColor rgb="FFFFF6E5"/>
      </patternFill>
    </fill>
    <fill>
      <patternFill patternType="solid">
        <fgColor rgb="FFFFF6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0"/>
      </left>
      <right style="thin">
        <color rgb="FFD5DDE0"/>
      </right>
      <top style="thin">
        <color rgb="FFD5DDE0"/>
      </top>
      <bottom style="thin">
        <color rgb="FFD5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E8F4F1"/>
      <rgbColor rgb="FF660066"/>
      <rgbColor rgb="FFFF8080"/>
      <rgbColor rgb="FF0066CC"/>
      <rgbColor rgb="FFD5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5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5" t="s">
        <v>6</v>
      </c>
      <c r="D6" s="4" t="s">
        <v>7</v>
      </c>
      <c r="E6" s="4" t="s">
        <v>8</v>
      </c>
    </row>
    <row r="7" customFormat="false" ht="29.85" hidden="false" customHeight="false" outlineLevel="0" collapsed="false">
      <c r="A7" s="6" t="s">
        <v>9</v>
      </c>
      <c r="B7" s="6" t="s">
        <v>10</v>
      </c>
      <c r="C7" s="6" t="s">
        <v>11</v>
      </c>
      <c r="D7" s="6" t="n">
        <v>8</v>
      </c>
      <c r="E7" s="7" t="s">
        <v>12</v>
      </c>
    </row>
    <row r="8" customFormat="false" ht="15" hidden="false" customHeight="false" outlineLevel="0" collapsed="false">
      <c r="A8" s="6" t="s">
        <v>13</v>
      </c>
      <c r="B8" s="6" t="s">
        <v>14</v>
      </c>
      <c r="C8" s="6" t="s">
        <v>15</v>
      </c>
      <c r="D8" s="6" t="n">
        <v>31</v>
      </c>
      <c r="E8" s="7" t="s">
        <v>16</v>
      </c>
    </row>
    <row r="9" customFormat="false" ht="15" hidden="false" customHeight="false" outlineLevel="0" collapsed="false">
      <c r="A9" s="6" t="s">
        <v>17</v>
      </c>
      <c r="B9" s="6" t="s">
        <v>18</v>
      </c>
      <c r="C9" s="6" t="s">
        <v>19</v>
      </c>
      <c r="D9" s="6" t="n">
        <v>5</v>
      </c>
      <c r="E9" s="7" t="s">
        <v>20</v>
      </c>
    </row>
    <row r="10" customFormat="false" ht="15" hidden="false" customHeight="false" outlineLevel="0" collapsed="false">
      <c r="A10" s="6" t="s">
        <v>21</v>
      </c>
      <c r="B10" s="6" t="s">
        <v>22</v>
      </c>
      <c r="C10" s="6" t="s">
        <v>23</v>
      </c>
      <c r="D10" s="6" t="n">
        <v>18</v>
      </c>
      <c r="E10" s="7" t="s">
        <v>24</v>
      </c>
    </row>
    <row r="11" customFormat="false" ht="15" hidden="false" customHeight="false" outlineLevel="0" collapsed="false">
      <c r="A11" s="6" t="s">
        <v>25</v>
      </c>
      <c r="B11" s="6" t="s">
        <v>26</v>
      </c>
      <c r="C11" s="6" t="s">
        <v>27</v>
      </c>
      <c r="D11" s="6" t="n">
        <v>10</v>
      </c>
      <c r="E11" s="7" t="s">
        <v>28</v>
      </c>
    </row>
    <row r="12" customFormat="false" ht="23.85" hidden="false" customHeight="false" outlineLevel="0" collapsed="false">
      <c r="A12" s="6" t="s">
        <v>29</v>
      </c>
      <c r="B12" s="6" t="s">
        <v>30</v>
      </c>
      <c r="C12" s="6" t="s">
        <v>31</v>
      </c>
      <c r="D12" s="6" t="n">
        <v>23</v>
      </c>
      <c r="E12" s="7" t="s">
        <v>32</v>
      </c>
    </row>
    <row r="13" customFormat="false" ht="29.85" hidden="false" customHeight="false" outlineLevel="0" collapsed="false">
      <c r="A13" s="6" t="s">
        <v>33</v>
      </c>
      <c r="B13" s="6" t="s">
        <v>34</v>
      </c>
      <c r="C13" s="6" t="s">
        <v>23</v>
      </c>
      <c r="D13" s="6" t="n">
        <v>12</v>
      </c>
      <c r="E13" s="7" t="s">
        <v>35</v>
      </c>
    </row>
    <row r="15" customFormat="false" ht="19.4" hidden="false" customHeight="false" outlineLevel="0" collapsed="false">
      <c r="A15" s="8" t="s">
        <v>36</v>
      </c>
    </row>
    <row r="16" customFormat="false" ht="15" hidden="false" customHeight="false" outlineLevel="0" collapsed="false">
      <c r="A16" s="4" t="s">
        <v>37</v>
      </c>
      <c r="B16" s="4" t="s">
        <v>38</v>
      </c>
      <c r="C16" s="4" t="s">
        <v>39</v>
      </c>
      <c r="D16" s="4" t="s">
        <v>40</v>
      </c>
      <c r="E16" s="4" t="s">
        <v>41</v>
      </c>
    </row>
    <row r="17" customFormat="false" ht="29.85" hidden="false" customHeight="false" outlineLevel="0" collapsed="false">
      <c r="A17" s="6" t="s">
        <v>33</v>
      </c>
      <c r="B17" s="6" t="s">
        <v>42</v>
      </c>
      <c r="C17" s="6" t="s">
        <v>43</v>
      </c>
      <c r="D17" s="6" t="s">
        <v>44</v>
      </c>
      <c r="E17" s="7" t="s">
        <v>45</v>
      </c>
    </row>
    <row r="18" customFormat="false" ht="23.85" hidden="false" customHeight="false" outlineLevel="0" collapsed="false">
      <c r="A18" s="6" t="s">
        <v>29</v>
      </c>
      <c r="B18" s="6" t="s">
        <v>46</v>
      </c>
      <c r="C18" s="6" t="s">
        <v>47</v>
      </c>
      <c r="D18" s="6" t="s">
        <v>44</v>
      </c>
      <c r="E18" s="7" t="s">
        <v>48</v>
      </c>
    </row>
    <row r="19" customFormat="false" ht="15" hidden="false" customHeight="false" outlineLevel="0" collapsed="false">
      <c r="A19" s="6" t="s">
        <v>13</v>
      </c>
      <c r="B19" s="6" t="s">
        <v>49</v>
      </c>
      <c r="C19" s="7" t="s">
        <v>50</v>
      </c>
      <c r="D19" s="6" t="s">
        <v>51</v>
      </c>
      <c r="E19" s="7" t="s">
        <v>52</v>
      </c>
    </row>
    <row r="20" customFormat="false" ht="15" hidden="false" customHeight="false" outlineLevel="0" collapsed="false">
      <c r="A20" s="6" t="s">
        <v>17</v>
      </c>
      <c r="B20" s="6" t="s">
        <v>53</v>
      </c>
      <c r="C20" s="7" t="s">
        <v>54</v>
      </c>
      <c r="D20" s="6" t="s">
        <v>44</v>
      </c>
      <c r="E20" s="7" t="s">
        <v>55</v>
      </c>
    </row>
    <row r="22" customFormat="false" ht="19.4" hidden="false" customHeight="false" outlineLevel="0" collapsed="false">
      <c r="A22" s="3" t="s">
        <v>56</v>
      </c>
    </row>
    <row r="23" customFormat="false" ht="15" hidden="false" customHeight="false" outlineLevel="0" collapsed="false">
      <c r="A23" s="5" t="s">
        <v>57</v>
      </c>
      <c r="B23" s="4" t="s">
        <v>58</v>
      </c>
      <c r="C23" s="4" t="s">
        <v>59</v>
      </c>
      <c r="D23" s="4" t="s">
        <v>60</v>
      </c>
    </row>
    <row r="24" customFormat="false" ht="29.85" hidden="false" customHeight="false" outlineLevel="0" collapsed="false">
      <c r="A24" s="7" t="s">
        <v>61</v>
      </c>
      <c r="B24" s="6" t="s">
        <v>51</v>
      </c>
      <c r="C24" s="7" t="s">
        <v>61</v>
      </c>
      <c r="D24" s="7" t="s">
        <v>62</v>
      </c>
    </row>
    <row r="25" customFormat="false" ht="15" hidden="false" customHeight="false" outlineLevel="0" collapsed="false">
      <c r="A25" s="7" t="s">
        <v>63</v>
      </c>
      <c r="B25" s="6" t="s">
        <v>64</v>
      </c>
      <c r="C25" s="7" t="s">
        <v>65</v>
      </c>
      <c r="D25" s="7" t="s">
        <v>66</v>
      </c>
    </row>
    <row r="26" customFormat="false" ht="29.85" hidden="false" customHeight="false" outlineLevel="0" collapsed="false">
      <c r="A26" s="7" t="s">
        <v>67</v>
      </c>
      <c r="B26" s="6" t="s">
        <v>68</v>
      </c>
      <c r="C26" s="7" t="s">
        <v>69</v>
      </c>
      <c r="D26" s="7" t="s">
        <v>70</v>
      </c>
    </row>
    <row r="27" customFormat="false" ht="29.85" hidden="false" customHeight="false" outlineLevel="0" collapsed="false">
      <c r="A27" s="7" t="s">
        <v>71</v>
      </c>
      <c r="B27" s="6" t="s">
        <v>72</v>
      </c>
      <c r="C27" s="7" t="s">
        <v>73</v>
      </c>
      <c r="D27" s="7" t="s">
        <v>74</v>
      </c>
    </row>
    <row r="28" customFormat="false" ht="29.85" hidden="false" customHeight="false" outlineLevel="0" collapsed="false">
      <c r="A28" s="7" t="s">
        <v>75</v>
      </c>
      <c r="B28" s="6" t="s">
        <v>51</v>
      </c>
      <c r="C28" s="7" t="s">
        <v>76</v>
      </c>
      <c r="D28" s="7" t="s">
        <v>77</v>
      </c>
    </row>
    <row r="30" customFormat="false" ht="15" hidden="false" customHeight="false" outlineLevel="0" collapsed="false">
      <c r="A30" s="3" t="s">
        <v>78</v>
      </c>
    </row>
    <row r="31" customFormat="false" ht="15" hidden="false" customHeight="false" outlineLevel="0" collapsed="false">
      <c r="A31" s="4" t="s">
        <v>79</v>
      </c>
      <c r="B31" s="4" t="s">
        <v>80</v>
      </c>
      <c r="C31" s="4" t="s">
        <v>81</v>
      </c>
      <c r="D31" s="4" t="s">
        <v>41</v>
      </c>
    </row>
    <row r="32" customFormat="false" ht="15" hidden="false" customHeight="false" outlineLevel="0" collapsed="false">
      <c r="A32" s="7" t="s">
        <v>82</v>
      </c>
      <c r="B32" s="7" t="s">
        <v>83</v>
      </c>
      <c r="C32" s="7" t="s">
        <v>84</v>
      </c>
      <c r="D32" s="6" t="s">
        <v>85</v>
      </c>
    </row>
    <row r="33" customFormat="false" ht="15" hidden="false" customHeight="false" outlineLevel="0" collapsed="false">
      <c r="A33" s="7" t="s">
        <v>86</v>
      </c>
      <c r="B33" s="7" t="s">
        <v>87</v>
      </c>
      <c r="C33" s="7" t="s">
        <v>88</v>
      </c>
      <c r="D33" s="7" t="s">
        <v>89</v>
      </c>
    </row>
    <row r="34" customFormat="false" ht="15" hidden="false" customHeight="false" outlineLevel="0" collapsed="false">
      <c r="A34" s="7" t="s">
        <v>90</v>
      </c>
      <c r="B34" s="7" t="s">
        <v>91</v>
      </c>
      <c r="C34" s="7" t="s">
        <v>92</v>
      </c>
      <c r="D34" s="6" t="s">
        <v>93</v>
      </c>
    </row>
    <row r="35" customFormat="false" ht="15" hidden="false" customHeight="false" outlineLevel="0" collapsed="false">
      <c r="A35" s="6" t="s">
        <v>94</v>
      </c>
      <c r="B35" s="7" t="s">
        <v>95</v>
      </c>
      <c r="C35" s="7" t="s">
        <v>96</v>
      </c>
      <c r="D35" s="7" t="s">
        <v>97</v>
      </c>
    </row>
    <row r="36" customFormat="false" ht="15" hidden="false" customHeight="false" outlineLevel="0" collapsed="false">
      <c r="A36" s="6" t="s">
        <v>51</v>
      </c>
      <c r="B36" s="6" t="s">
        <v>51</v>
      </c>
      <c r="C36" s="7" t="s">
        <v>98</v>
      </c>
      <c r="D36" s="7" t="s">
        <v>99</v>
      </c>
    </row>
    <row r="37" customFormat="false" ht="15" hidden="false" customHeight="false" outlineLevel="0" collapsed="false">
      <c r="A37" s="7" t="s">
        <v>100</v>
      </c>
      <c r="B37" s="6" t="s">
        <v>51</v>
      </c>
      <c r="C37" s="7" t="s">
        <v>101</v>
      </c>
      <c r="D37" s="7" t="s">
        <v>102</v>
      </c>
    </row>
    <row r="39" customFormat="false" ht="15" hidden="false" customHeight="false" outlineLevel="0" collapsed="false">
      <c r="A39" s="3" t="s">
        <v>103</v>
      </c>
    </row>
    <row r="40" customFormat="false" ht="15" hidden="false" customHeight="false" outlineLevel="0" collapsed="false">
      <c r="A40" s="4" t="s">
        <v>104</v>
      </c>
      <c r="B40" s="4" t="s">
        <v>105</v>
      </c>
      <c r="C40" s="4" t="s">
        <v>106</v>
      </c>
    </row>
    <row r="41" customFormat="false" ht="44" hidden="false" customHeight="false" outlineLevel="0" collapsed="false">
      <c r="A41" s="6" t="s">
        <v>107</v>
      </c>
      <c r="B41" s="7" t="s">
        <v>108</v>
      </c>
      <c r="C41" s="7" t="s">
        <v>109</v>
      </c>
    </row>
    <row r="42" customFormat="false" ht="29.85" hidden="false" customHeight="false" outlineLevel="0" collapsed="false">
      <c r="A42" s="6" t="s">
        <v>110</v>
      </c>
      <c r="B42" s="7" t="s">
        <v>111</v>
      </c>
      <c r="C42" s="7" t="s">
        <v>112</v>
      </c>
    </row>
    <row r="43" customFormat="false" ht="29.85" hidden="false" customHeight="false" outlineLevel="0" collapsed="false">
      <c r="A43" s="6" t="s">
        <v>113</v>
      </c>
      <c r="B43" s="7" t="s">
        <v>114</v>
      </c>
      <c r="C43" s="6" t="s">
        <v>115</v>
      </c>
    </row>
    <row r="44" customFormat="false" ht="29.85" hidden="false" customHeight="false" outlineLevel="0" collapsed="false">
      <c r="A44" s="6" t="s">
        <v>116</v>
      </c>
      <c r="B44" s="7" t="s">
        <v>117</v>
      </c>
      <c r="C44" s="7" t="s">
        <v>118</v>
      </c>
    </row>
    <row r="46" customFormat="false" ht="19.4" hidden="false" customHeight="false" outlineLevel="0" collapsed="false">
      <c r="A46" s="3" t="s">
        <v>119</v>
      </c>
    </row>
    <row r="47" customFormat="false" ht="15" hidden="false" customHeight="false" outlineLevel="0" collapsed="false">
      <c r="A47" s="4" t="s">
        <v>120</v>
      </c>
      <c r="B47" s="4" t="s">
        <v>104</v>
      </c>
      <c r="C47" s="4" t="s">
        <v>121</v>
      </c>
      <c r="D47" s="4" t="s">
        <v>122</v>
      </c>
    </row>
    <row r="48" customFormat="false" ht="44" hidden="false" customHeight="false" outlineLevel="0" collapsed="false">
      <c r="A48" s="9" t="s">
        <v>123</v>
      </c>
      <c r="B48" s="6" t="s">
        <v>124</v>
      </c>
      <c r="C48" s="6" t="s">
        <v>125</v>
      </c>
      <c r="D48" s="7" t="s">
        <v>126</v>
      </c>
    </row>
    <row r="49" customFormat="false" ht="44" hidden="false" customHeight="false" outlineLevel="0" collapsed="false">
      <c r="A49" s="9" t="s">
        <v>127</v>
      </c>
      <c r="B49" s="6" t="s">
        <v>128</v>
      </c>
      <c r="C49" s="6" t="s">
        <v>129</v>
      </c>
      <c r="D49" s="7" t="s">
        <v>130</v>
      </c>
    </row>
    <row r="50" customFormat="false" ht="58.2" hidden="false" customHeight="false" outlineLevel="0" collapsed="false">
      <c r="A50" s="9" t="s">
        <v>131</v>
      </c>
      <c r="B50" s="6" t="s">
        <v>132</v>
      </c>
      <c r="C50" s="7" t="s">
        <v>133</v>
      </c>
      <c r="D50" s="7" t="s">
        <v>134</v>
      </c>
    </row>
    <row r="51" customFormat="false" ht="29.85" hidden="false" customHeight="false" outlineLevel="0" collapsed="false">
      <c r="A51" s="9" t="s">
        <v>135</v>
      </c>
      <c r="B51" s="6" t="s">
        <v>136</v>
      </c>
      <c r="C51" s="7" t="s">
        <v>137</v>
      </c>
      <c r="D51" s="7" t="s">
        <v>138</v>
      </c>
    </row>
    <row r="52" customFormat="false" ht="29.85" hidden="false" customHeight="false" outlineLevel="0" collapsed="false">
      <c r="A52" s="9" t="s">
        <v>139</v>
      </c>
      <c r="B52" s="6" t="s">
        <v>140</v>
      </c>
      <c r="C52" s="7" t="s">
        <v>141</v>
      </c>
      <c r="D52" s="7" t="s">
        <v>142</v>
      </c>
    </row>
    <row r="53" customFormat="false" ht="29.85" hidden="false" customHeight="false" outlineLevel="0" collapsed="false">
      <c r="A53" s="9" t="s">
        <v>143</v>
      </c>
      <c r="B53" s="6" t="s">
        <v>144</v>
      </c>
      <c r="C53" s="7" t="s">
        <v>145</v>
      </c>
      <c r="D53" s="7" t="s">
        <v>146</v>
      </c>
    </row>
    <row r="54" customFormat="false" ht="29.85" hidden="false" customHeight="false" outlineLevel="0" collapsed="false">
      <c r="A54" s="9" t="s">
        <v>147</v>
      </c>
      <c r="B54" s="6" t="s">
        <v>148</v>
      </c>
      <c r="C54" s="7" t="s">
        <v>149</v>
      </c>
      <c r="D54" s="6" t="s">
        <v>150</v>
      </c>
    </row>
    <row r="55" customFormat="false" ht="72.35" hidden="false" customHeight="false" outlineLevel="0" collapsed="false">
      <c r="A55" s="9" t="s">
        <v>151</v>
      </c>
      <c r="B55" s="6" t="s">
        <v>152</v>
      </c>
      <c r="C55" s="7" t="s">
        <v>153</v>
      </c>
      <c r="D55" s="7" t="s">
        <v>154</v>
      </c>
    </row>
    <row r="56" customFormat="false" ht="72.35" hidden="false" customHeight="false" outlineLevel="0" collapsed="false">
      <c r="A56" s="9" t="s">
        <v>155</v>
      </c>
      <c r="B56" s="6" t="s">
        <v>156</v>
      </c>
      <c r="C56" s="7" t="s">
        <v>157</v>
      </c>
      <c r="D56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8" min="11" style="0" width="9"/>
    <col collapsed="false" customWidth="true" hidden="false" outlineLevel="0" max="19" min="19" style="0" width="11"/>
    <col collapsed="false" customWidth="true" hidden="false" outlineLevel="0" max="20" min="20" style="0" width="15"/>
    <col collapsed="false" customWidth="true" hidden="false" outlineLevel="0" max="21" min="21" style="0" width="52"/>
  </cols>
  <sheetData>
    <row r="1" customFormat="false" ht="19.4" hidden="false" customHeight="false" outlineLevel="0" collapsed="false">
      <c r="A1" s="8" t="s">
        <v>159</v>
      </c>
    </row>
    <row r="2" customFormat="false" ht="33.75" hidden="false" customHeight="true" outlineLevel="0" collapsed="false">
      <c r="A2" s="5" t="s">
        <v>160</v>
      </c>
      <c r="B2" s="5" t="s">
        <v>161</v>
      </c>
      <c r="C2" s="5" t="s">
        <v>162</v>
      </c>
      <c r="D2" s="5" t="s">
        <v>163</v>
      </c>
      <c r="E2" s="5" t="s">
        <v>164</v>
      </c>
      <c r="F2" s="5" t="s">
        <v>165</v>
      </c>
      <c r="G2" s="5" t="s">
        <v>166</v>
      </c>
      <c r="H2" s="5" t="s">
        <v>167</v>
      </c>
      <c r="I2" s="5" t="s">
        <v>168</v>
      </c>
      <c r="J2" s="5" t="s">
        <v>169</v>
      </c>
      <c r="K2" s="5" t="s">
        <v>170</v>
      </c>
      <c r="L2" s="5" t="s">
        <v>171</v>
      </c>
      <c r="M2" s="5" t="s">
        <v>172</v>
      </c>
      <c r="N2" s="5" t="s">
        <v>173</v>
      </c>
      <c r="O2" s="5" t="s">
        <v>174</v>
      </c>
      <c r="P2" s="5" t="s">
        <v>175</v>
      </c>
      <c r="Q2" s="5" t="s">
        <v>176</v>
      </c>
      <c r="R2" s="5" t="s">
        <v>177</v>
      </c>
      <c r="S2" s="5" t="s">
        <v>178</v>
      </c>
      <c r="T2" s="5" t="s">
        <v>179</v>
      </c>
      <c r="U2" s="5" t="s">
        <v>180</v>
      </c>
    </row>
    <row r="3" customFormat="false" ht="29.85" hidden="false" customHeight="false" outlineLevel="0" collapsed="false">
      <c r="A3" s="10" t="s">
        <v>181</v>
      </c>
      <c r="B3" s="6" t="s">
        <v>182</v>
      </c>
      <c r="C3" s="6" t="s">
        <v>183</v>
      </c>
      <c r="D3" s="6" t="n">
        <v>0</v>
      </c>
      <c r="E3" s="6" t="n">
        <v>2.5</v>
      </c>
      <c r="F3" s="6" t="n">
        <v>0.168</v>
      </c>
      <c r="G3" s="6" t="n">
        <v>0.94</v>
      </c>
      <c r="H3" s="6" t="n">
        <v>4.51</v>
      </c>
      <c r="I3" s="6" t="n">
        <v>3</v>
      </c>
      <c r="J3" s="6" t="n">
        <v>2.5</v>
      </c>
      <c r="K3" s="11" t="n">
        <f aca="false">2+J3</f>
        <v>4.5</v>
      </c>
      <c r="L3" s="11" t="n">
        <f aca="false">ROUNDUP(K3,0)</f>
        <v>5</v>
      </c>
      <c r="M3" s="6" t="n">
        <v>5</v>
      </c>
      <c r="N3" s="11" t="str">
        <f aca="false">IF(L3=M3,"OK","불일치")</f>
        <v>OK</v>
      </c>
      <c r="O3" s="6" t="n">
        <v>0.94</v>
      </c>
      <c r="P3" s="11" t="n">
        <f aca="false">ROUND(H3/O3,2)</f>
        <v>4.8</v>
      </c>
      <c r="Q3" s="6" t="n">
        <v>4.8</v>
      </c>
      <c r="R3" s="11" t="str">
        <f aca="false">IF(ABS(P3-Q3)&lt;=0.01,"OK","불일치")</f>
        <v>OK</v>
      </c>
      <c r="S3" s="7" t="s">
        <v>184</v>
      </c>
      <c r="T3" s="7" t="s">
        <v>185</v>
      </c>
      <c r="U3" s="7" t="s">
        <v>186</v>
      </c>
    </row>
    <row r="4" customFormat="false" ht="15" hidden="false" customHeight="false" outlineLevel="0" collapsed="false">
      <c r="A4" s="10" t="s">
        <v>187</v>
      </c>
      <c r="B4" s="7" t="s">
        <v>188</v>
      </c>
      <c r="C4" s="6" t="s">
        <v>183</v>
      </c>
      <c r="D4" s="6" t="n">
        <v>0.4</v>
      </c>
      <c r="E4" s="6" t="n">
        <v>4.5</v>
      </c>
      <c r="F4" s="6" t="n">
        <v>0.126</v>
      </c>
      <c r="G4" s="6" t="n">
        <v>1.19</v>
      </c>
      <c r="H4" s="6" t="n">
        <v>5.7</v>
      </c>
      <c r="I4" s="6" t="n">
        <v>4</v>
      </c>
      <c r="J4" s="6" t="n">
        <v>4.5</v>
      </c>
      <c r="K4" s="11" t="n">
        <f aca="false">2+J4</f>
        <v>6.5</v>
      </c>
      <c r="L4" s="11" t="n">
        <f aca="false">ROUNDUP(K4,0)</f>
        <v>7</v>
      </c>
      <c r="M4" s="6" t="n">
        <v>7</v>
      </c>
      <c r="N4" s="11" t="str">
        <f aca="false">IF(L4=M4,"OK","불일치")</f>
        <v>OK</v>
      </c>
      <c r="O4" s="6" t="n">
        <v>1.59</v>
      </c>
      <c r="P4" s="11" t="n">
        <f aca="false">ROUND(H4/O4,2)</f>
        <v>3.58</v>
      </c>
      <c r="Q4" s="6" t="n">
        <v>3.58</v>
      </c>
      <c r="R4" s="11" t="str">
        <f aca="false">IF(ABS(P4-Q4)&lt;=0.01,"OK","불일치")</f>
        <v>OK</v>
      </c>
      <c r="S4" s="7" t="s">
        <v>189</v>
      </c>
      <c r="T4" s="7" t="s">
        <v>190</v>
      </c>
      <c r="U4" s="7" t="s">
        <v>191</v>
      </c>
    </row>
    <row r="5" customFormat="false" ht="29.85" hidden="false" customHeight="false" outlineLevel="0" collapsed="false">
      <c r="A5" s="10" t="s">
        <v>192</v>
      </c>
      <c r="B5" s="7" t="s">
        <v>193</v>
      </c>
      <c r="C5" s="6" t="s">
        <v>183</v>
      </c>
      <c r="D5" s="6" t="n">
        <v>0.8</v>
      </c>
      <c r="E5" s="6" t="n">
        <v>6</v>
      </c>
      <c r="F5" s="6" t="n">
        <v>0.084</v>
      </c>
      <c r="G5" s="6" t="n">
        <v>1.34</v>
      </c>
      <c r="H5" s="6" t="n">
        <v>6.4</v>
      </c>
      <c r="I5" s="6" t="n">
        <v>5</v>
      </c>
      <c r="J5" s="6" t="n">
        <v>6</v>
      </c>
      <c r="K5" s="11" t="n">
        <f aca="false">2+J5</f>
        <v>8</v>
      </c>
      <c r="L5" s="11" t="n">
        <f aca="false">ROUNDUP(K5,0)</f>
        <v>8</v>
      </c>
      <c r="M5" s="6" t="n">
        <v>8</v>
      </c>
      <c r="N5" s="11" t="str">
        <f aca="false">IF(L5=M5,"OK","불일치")</f>
        <v>OK</v>
      </c>
      <c r="O5" s="6" t="n">
        <v>2.14</v>
      </c>
      <c r="P5" s="11" t="n">
        <f aca="false">ROUND(H5/O5,2)</f>
        <v>2.99</v>
      </c>
      <c r="Q5" s="6" t="n">
        <v>2.99</v>
      </c>
      <c r="R5" s="11" t="str">
        <f aca="false">IF(ABS(P5-Q5)&lt;=0.01,"OK","불일치")</f>
        <v>OK</v>
      </c>
      <c r="S5" s="7" t="s">
        <v>194</v>
      </c>
      <c r="T5" s="7" t="s">
        <v>195</v>
      </c>
      <c r="U5" s="7" t="s">
        <v>196</v>
      </c>
    </row>
    <row r="6" customFormat="false" ht="29.85" hidden="false" customHeight="false" outlineLevel="0" collapsed="false">
      <c r="A6" s="10" t="s">
        <v>197</v>
      </c>
      <c r="B6" s="7" t="s">
        <v>198</v>
      </c>
      <c r="C6" s="6" t="s">
        <v>183</v>
      </c>
      <c r="D6" s="6" t="n">
        <v>1.2</v>
      </c>
      <c r="E6" s="6" t="n">
        <v>7.75</v>
      </c>
      <c r="F6" s="6" t="n">
        <v>0.042</v>
      </c>
      <c r="G6" s="6" t="n">
        <v>1.49</v>
      </c>
      <c r="H6" s="6" t="n">
        <v>7.1</v>
      </c>
      <c r="I6" s="6" t="n">
        <v>6</v>
      </c>
      <c r="J6" s="6" t="n">
        <v>7.75</v>
      </c>
      <c r="K6" s="11" t="n">
        <f aca="false">2+J6</f>
        <v>9.75</v>
      </c>
      <c r="L6" s="11" t="n">
        <f aca="false">ROUNDUP(K6,0)</f>
        <v>10</v>
      </c>
      <c r="M6" s="6" t="n">
        <v>10</v>
      </c>
      <c r="N6" s="11" t="str">
        <f aca="false">IF(L6=M6,"OK","불일치")</f>
        <v>OK</v>
      </c>
      <c r="O6" s="6" t="n">
        <v>2.69</v>
      </c>
      <c r="P6" s="11" t="n">
        <f aca="false">ROUND(H6/O6,2)</f>
        <v>2.64</v>
      </c>
      <c r="Q6" s="6" t="n">
        <v>2.64</v>
      </c>
      <c r="R6" s="11" t="str">
        <f aca="false">IF(ABS(P6-Q6)&lt;=0.01,"OK","불일치")</f>
        <v>OK</v>
      </c>
      <c r="S6" s="7" t="s">
        <v>199</v>
      </c>
      <c r="T6" s="7" t="s">
        <v>200</v>
      </c>
      <c r="U6" s="7" t="s">
        <v>201</v>
      </c>
    </row>
    <row r="7" customFormat="false" ht="86.55" hidden="false" customHeight="false" outlineLevel="0" collapsed="false">
      <c r="A7" s="10" t="s">
        <v>202</v>
      </c>
      <c r="B7" s="7" t="s">
        <v>203</v>
      </c>
      <c r="C7" s="6" t="s">
        <v>204</v>
      </c>
      <c r="D7" s="6" t="s">
        <v>51</v>
      </c>
      <c r="E7" s="6" t="n">
        <v>2.25</v>
      </c>
      <c r="F7" s="6" t="n">
        <v>0.126</v>
      </c>
      <c r="G7" s="6" t="s">
        <v>51</v>
      </c>
      <c r="H7" s="6" t="s">
        <v>51</v>
      </c>
      <c r="I7" s="6" t="s">
        <v>51</v>
      </c>
      <c r="J7" s="6" t="s">
        <v>51</v>
      </c>
      <c r="K7" s="6" t="s">
        <v>51</v>
      </c>
      <c r="L7" s="6" t="s">
        <v>51</v>
      </c>
      <c r="M7" s="6" t="s">
        <v>51</v>
      </c>
      <c r="N7" s="6" t="s">
        <v>51</v>
      </c>
      <c r="O7" s="6" t="s">
        <v>51</v>
      </c>
      <c r="P7" s="6" t="s">
        <v>51</v>
      </c>
      <c r="Q7" s="6" t="s">
        <v>51</v>
      </c>
      <c r="R7" s="6" t="s">
        <v>51</v>
      </c>
      <c r="S7" s="6" t="s">
        <v>51</v>
      </c>
      <c r="T7" s="6" t="s">
        <v>205</v>
      </c>
    </row>
    <row r="8" customFormat="false" ht="86.55" hidden="false" customHeight="false" outlineLevel="0" collapsed="false">
      <c r="A8" s="10" t="s">
        <v>206</v>
      </c>
      <c r="B8" s="7" t="s">
        <v>207</v>
      </c>
      <c r="C8" s="6" t="s">
        <v>204</v>
      </c>
      <c r="D8" s="6" t="s">
        <v>51</v>
      </c>
      <c r="E8" s="6" t="n">
        <v>3</v>
      </c>
      <c r="F8" s="6" t="s">
        <v>51</v>
      </c>
      <c r="G8" s="6" t="s">
        <v>51</v>
      </c>
      <c r="H8" s="6" t="s">
        <v>51</v>
      </c>
      <c r="I8" s="6" t="s">
        <v>51</v>
      </c>
      <c r="J8" s="6" t="s">
        <v>51</v>
      </c>
      <c r="K8" s="6" t="s">
        <v>51</v>
      </c>
      <c r="L8" s="6" t="s">
        <v>51</v>
      </c>
      <c r="M8" s="6" t="s">
        <v>51</v>
      </c>
      <c r="N8" s="6" t="s">
        <v>51</v>
      </c>
      <c r="O8" s="6" t="s">
        <v>51</v>
      </c>
      <c r="P8" s="6" t="s">
        <v>51</v>
      </c>
      <c r="Q8" s="6" t="s">
        <v>51</v>
      </c>
      <c r="R8" s="6" t="s">
        <v>51</v>
      </c>
      <c r="S8" s="6" t="s">
        <v>51</v>
      </c>
      <c r="T8" s="7" t="s">
        <v>208</v>
      </c>
    </row>
    <row r="9" customFormat="false" ht="86.55" hidden="false" customHeight="false" outlineLevel="0" collapsed="false">
      <c r="A9" s="10" t="s">
        <v>209</v>
      </c>
      <c r="B9" s="7" t="s">
        <v>210</v>
      </c>
      <c r="C9" s="6" t="s">
        <v>204</v>
      </c>
      <c r="D9" s="6" t="s">
        <v>51</v>
      </c>
      <c r="E9" s="6" t="n">
        <v>0.6</v>
      </c>
      <c r="F9" s="6" t="s">
        <v>51</v>
      </c>
      <c r="G9" s="6" t="s">
        <v>51</v>
      </c>
      <c r="H9" s="6" t="s">
        <v>51</v>
      </c>
      <c r="I9" s="6" t="s">
        <v>51</v>
      </c>
      <c r="J9" s="6" t="s">
        <v>51</v>
      </c>
      <c r="K9" s="6" t="s">
        <v>51</v>
      </c>
      <c r="L9" s="6" t="s">
        <v>51</v>
      </c>
      <c r="M9" s="6" t="s">
        <v>51</v>
      </c>
      <c r="N9" s="6" t="s">
        <v>51</v>
      </c>
      <c r="O9" s="6" t="s">
        <v>51</v>
      </c>
      <c r="P9" s="6" t="s">
        <v>51</v>
      </c>
      <c r="Q9" s="6" t="s">
        <v>51</v>
      </c>
      <c r="R9" s="6" t="s">
        <v>51</v>
      </c>
      <c r="S9" s="6" t="s">
        <v>51</v>
      </c>
      <c r="T9" s="7" t="s">
        <v>211</v>
      </c>
    </row>
    <row r="10" customFormat="false" ht="100.7" hidden="false" customHeight="false" outlineLevel="0" collapsed="false">
      <c r="A10" s="10" t="s">
        <v>212</v>
      </c>
      <c r="B10" s="7" t="s">
        <v>213</v>
      </c>
      <c r="C10" s="6" t="s">
        <v>204</v>
      </c>
      <c r="D10" s="6" t="s">
        <v>51</v>
      </c>
      <c r="E10" s="6" t="n">
        <v>2.5</v>
      </c>
      <c r="F10" s="6" t="s">
        <v>51</v>
      </c>
      <c r="G10" s="6" t="s">
        <v>51</v>
      </c>
      <c r="H10" s="6" t="s">
        <v>51</v>
      </c>
      <c r="I10" s="6" t="s">
        <v>51</v>
      </c>
      <c r="J10" s="6" t="s">
        <v>51</v>
      </c>
      <c r="K10" s="6" t="s">
        <v>51</v>
      </c>
      <c r="L10" s="6" t="s">
        <v>51</v>
      </c>
      <c r="M10" s="6" t="s">
        <v>51</v>
      </c>
      <c r="N10" s="6" t="s">
        <v>51</v>
      </c>
      <c r="O10" s="6" t="s">
        <v>51</v>
      </c>
      <c r="P10" s="6" t="s">
        <v>51</v>
      </c>
      <c r="Q10" s="6" t="s">
        <v>51</v>
      </c>
      <c r="R10" s="6" t="s">
        <v>51</v>
      </c>
      <c r="S10" s="6" t="s">
        <v>51</v>
      </c>
      <c r="T10" s="7" t="s">
        <v>214</v>
      </c>
    </row>
    <row r="12" customFormat="false" ht="15" hidden="false" customHeight="false" outlineLevel="0" collapsed="false">
      <c r="A12" s="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74"/>
  </cols>
  <sheetData>
    <row r="1" customFormat="false" ht="19.4" hidden="false" customHeight="false" outlineLevel="0" collapsed="false">
      <c r="A1" s="8" t="s">
        <v>216</v>
      </c>
    </row>
    <row r="2" customFormat="false" ht="33.75" hidden="false" customHeight="true" outlineLevel="0" collapsed="false">
      <c r="A2" s="5" t="s">
        <v>217</v>
      </c>
      <c r="B2" s="5" t="s">
        <v>218</v>
      </c>
      <c r="C2" s="5" t="s">
        <v>161</v>
      </c>
      <c r="D2" s="5" t="s">
        <v>219</v>
      </c>
      <c r="E2" s="5" t="s">
        <v>220</v>
      </c>
      <c r="F2" s="5" t="s">
        <v>49</v>
      </c>
      <c r="G2" s="5" t="s">
        <v>180</v>
      </c>
    </row>
    <row r="3" customFormat="false" ht="15" hidden="false" customHeight="false" outlineLevel="0" collapsed="false">
      <c r="A3" s="10" t="s">
        <v>221</v>
      </c>
      <c r="B3" s="7" t="s">
        <v>222</v>
      </c>
      <c r="C3" s="7" t="s">
        <v>223</v>
      </c>
      <c r="D3" s="6" t="n">
        <v>5</v>
      </c>
      <c r="E3" s="7" t="s">
        <v>224</v>
      </c>
      <c r="F3" s="6" t="s">
        <v>225</v>
      </c>
      <c r="G3" s="7" t="s">
        <v>226</v>
      </c>
    </row>
    <row r="4" customFormat="false" ht="15" hidden="false" customHeight="false" outlineLevel="0" collapsed="false">
      <c r="A4" s="10" t="s">
        <v>227</v>
      </c>
      <c r="B4" s="7" t="s">
        <v>222</v>
      </c>
      <c r="C4" s="7" t="s">
        <v>228</v>
      </c>
      <c r="D4" s="6" t="n">
        <v>8</v>
      </c>
      <c r="E4" s="7" t="s">
        <v>224</v>
      </c>
      <c r="F4" s="6" t="s">
        <v>225</v>
      </c>
      <c r="G4" s="7" t="s">
        <v>229</v>
      </c>
    </row>
    <row r="5" customFormat="false" ht="15" hidden="false" customHeight="false" outlineLevel="0" collapsed="false">
      <c r="A5" s="10" t="s">
        <v>230</v>
      </c>
      <c r="B5" s="7" t="s">
        <v>222</v>
      </c>
      <c r="C5" s="6" t="s">
        <v>231</v>
      </c>
      <c r="D5" s="6" t="n">
        <v>4</v>
      </c>
      <c r="E5" s="7" t="s">
        <v>232</v>
      </c>
      <c r="F5" s="6" t="s">
        <v>225</v>
      </c>
      <c r="G5" s="7" t="s">
        <v>233</v>
      </c>
    </row>
    <row r="6" customFormat="false" ht="29.85" hidden="false" customHeight="false" outlineLevel="0" collapsed="false">
      <c r="A6" s="10" t="s">
        <v>234</v>
      </c>
      <c r="B6" s="7" t="s">
        <v>222</v>
      </c>
      <c r="C6" s="7" t="s">
        <v>235</v>
      </c>
      <c r="D6" s="6" t="n">
        <v>1.1</v>
      </c>
      <c r="E6" s="7" t="s">
        <v>86</v>
      </c>
      <c r="F6" s="6" t="s">
        <v>225</v>
      </c>
      <c r="G6" s="7" t="s">
        <v>236</v>
      </c>
    </row>
    <row r="7" customFormat="false" ht="15" hidden="false" customHeight="false" outlineLevel="0" collapsed="false">
      <c r="A7" s="10" t="s">
        <v>237</v>
      </c>
      <c r="B7" s="7" t="s">
        <v>222</v>
      </c>
      <c r="C7" s="7" t="s">
        <v>238</v>
      </c>
      <c r="D7" s="6" t="n">
        <v>0.6</v>
      </c>
      <c r="E7" s="7" t="s">
        <v>82</v>
      </c>
      <c r="F7" s="6" t="s">
        <v>225</v>
      </c>
      <c r="G7" s="7" t="s">
        <v>239</v>
      </c>
    </row>
    <row r="8" customFormat="false" ht="15" hidden="false" customHeight="false" outlineLevel="0" collapsed="false">
      <c r="A8" s="10" t="s">
        <v>240</v>
      </c>
      <c r="B8" s="6" t="s">
        <v>241</v>
      </c>
      <c r="C8" s="7" t="s">
        <v>242</v>
      </c>
      <c r="D8" s="6" t="n">
        <v>6</v>
      </c>
      <c r="E8" s="6" t="s">
        <v>241</v>
      </c>
      <c r="F8" s="6" t="s">
        <v>243</v>
      </c>
      <c r="G8" s="7" t="s">
        <v>244</v>
      </c>
    </row>
    <row r="9" customFormat="false" ht="15" hidden="false" customHeight="false" outlineLevel="0" collapsed="false">
      <c r="A9" s="10" t="s">
        <v>245</v>
      </c>
      <c r="B9" s="6" t="s">
        <v>241</v>
      </c>
      <c r="C9" s="6" t="s">
        <v>246</v>
      </c>
      <c r="D9" s="6" t="n">
        <v>10</v>
      </c>
      <c r="E9" s="6" t="s">
        <v>241</v>
      </c>
      <c r="F9" s="6" t="s">
        <v>243</v>
      </c>
      <c r="G9" s="6" t="s">
        <v>247</v>
      </c>
    </row>
    <row r="10" customFormat="false" ht="15" hidden="false" customHeight="false" outlineLevel="0" collapsed="false">
      <c r="A10" s="10" t="s">
        <v>248</v>
      </c>
      <c r="B10" s="6" t="s">
        <v>241</v>
      </c>
      <c r="C10" s="6" t="s">
        <v>249</v>
      </c>
      <c r="D10" s="6" t="n">
        <v>14</v>
      </c>
      <c r="E10" s="6" t="s">
        <v>241</v>
      </c>
      <c r="F10" s="6" t="s">
        <v>243</v>
      </c>
      <c r="G10" s="6" t="s">
        <v>247</v>
      </c>
    </row>
    <row r="11" customFormat="false" ht="15" hidden="false" customHeight="false" outlineLevel="0" collapsed="false">
      <c r="A11" s="10" t="s">
        <v>250</v>
      </c>
      <c r="B11" s="6" t="s">
        <v>241</v>
      </c>
      <c r="C11" s="6" t="s">
        <v>251</v>
      </c>
      <c r="D11" s="6" t="n">
        <v>18</v>
      </c>
      <c r="E11" s="6" t="s">
        <v>241</v>
      </c>
      <c r="F11" s="6" t="s">
        <v>243</v>
      </c>
      <c r="G11" s="6" t="s">
        <v>247</v>
      </c>
    </row>
    <row r="12" customFormat="false" ht="15" hidden="false" customHeight="false" outlineLevel="0" collapsed="false">
      <c r="A12" s="10" t="s">
        <v>252</v>
      </c>
      <c r="B12" s="7" t="s">
        <v>253</v>
      </c>
      <c r="C12" s="7" t="s">
        <v>254</v>
      </c>
      <c r="D12" s="6" t="n">
        <v>1</v>
      </c>
      <c r="E12" s="6" t="s">
        <v>94</v>
      </c>
      <c r="F12" s="6" t="s">
        <v>255</v>
      </c>
      <c r="G12" s="7" t="s">
        <v>256</v>
      </c>
    </row>
    <row r="13" customFormat="false" ht="15" hidden="false" customHeight="false" outlineLevel="0" collapsed="false">
      <c r="A13" s="10" t="s">
        <v>257</v>
      </c>
      <c r="B13" s="7" t="s">
        <v>253</v>
      </c>
      <c r="C13" s="7" t="s">
        <v>258</v>
      </c>
      <c r="D13" s="6" t="n">
        <v>1.3</v>
      </c>
      <c r="E13" s="6" t="s">
        <v>94</v>
      </c>
      <c r="F13" s="6" t="s">
        <v>255</v>
      </c>
      <c r="G13" s="7" t="s">
        <v>259</v>
      </c>
    </row>
    <row r="14" customFormat="false" ht="15" hidden="false" customHeight="false" outlineLevel="0" collapsed="false">
      <c r="A14" s="10" t="s">
        <v>260</v>
      </c>
      <c r="B14" s="7" t="s">
        <v>253</v>
      </c>
      <c r="C14" s="7" t="s">
        <v>261</v>
      </c>
      <c r="D14" s="6" t="n">
        <v>1.6</v>
      </c>
      <c r="E14" s="6" t="s">
        <v>94</v>
      </c>
      <c r="F14" s="6" t="s">
        <v>255</v>
      </c>
      <c r="G14" s="7" t="s">
        <v>262</v>
      </c>
    </row>
    <row r="15" customFormat="false" ht="15" hidden="false" customHeight="false" outlineLevel="0" collapsed="false">
      <c r="A15" s="10" t="s">
        <v>263</v>
      </c>
      <c r="B15" s="7" t="s">
        <v>264</v>
      </c>
      <c r="C15" s="7" t="s">
        <v>265</v>
      </c>
      <c r="D15" s="6" t="n">
        <v>0.5</v>
      </c>
      <c r="E15" s="6" t="s">
        <v>94</v>
      </c>
      <c r="F15" s="6" t="s">
        <v>266</v>
      </c>
      <c r="G15" s="7" t="s">
        <v>267</v>
      </c>
    </row>
    <row r="16" customFormat="false" ht="15" hidden="false" customHeight="false" outlineLevel="0" collapsed="false">
      <c r="A16" s="10" t="s">
        <v>268</v>
      </c>
      <c r="B16" s="7" t="s">
        <v>264</v>
      </c>
      <c r="C16" s="7" t="s">
        <v>269</v>
      </c>
      <c r="D16" s="6" t="n">
        <v>1.5</v>
      </c>
      <c r="E16" s="6" t="s">
        <v>94</v>
      </c>
      <c r="F16" s="6" t="s">
        <v>270</v>
      </c>
      <c r="G16" s="7" t="s">
        <v>271</v>
      </c>
    </row>
    <row r="17" customFormat="false" ht="15" hidden="false" customHeight="false" outlineLevel="0" collapsed="false">
      <c r="A17" s="10" t="s">
        <v>272</v>
      </c>
      <c r="B17" s="7" t="s">
        <v>273</v>
      </c>
      <c r="C17" s="7" t="s">
        <v>274</v>
      </c>
      <c r="D17" s="6" t="n">
        <v>9</v>
      </c>
      <c r="E17" s="7" t="s">
        <v>275</v>
      </c>
      <c r="F17" s="6" t="s">
        <v>276</v>
      </c>
      <c r="G17" s="6"/>
    </row>
    <row r="18" customFormat="false" ht="29.85" hidden="false" customHeight="false" outlineLevel="0" collapsed="false">
      <c r="A18" s="10" t="s">
        <v>277</v>
      </c>
      <c r="B18" s="7" t="s">
        <v>273</v>
      </c>
      <c r="C18" s="6" t="s">
        <v>278</v>
      </c>
      <c r="D18" s="6" t="n">
        <v>1</v>
      </c>
      <c r="E18" s="7" t="s">
        <v>275</v>
      </c>
      <c r="F18" s="6" t="s">
        <v>276</v>
      </c>
      <c r="G18" s="7" t="s">
        <v>279</v>
      </c>
    </row>
    <row r="19" customFormat="false" ht="15" hidden="false" customHeight="false" outlineLevel="0" collapsed="false">
      <c r="A19" s="10" t="s">
        <v>280</v>
      </c>
      <c r="B19" s="7" t="s">
        <v>273</v>
      </c>
      <c r="C19" s="7" t="s">
        <v>281</v>
      </c>
      <c r="D19" s="6" t="n">
        <v>3</v>
      </c>
      <c r="E19" s="7" t="s">
        <v>275</v>
      </c>
      <c r="F19" s="6" t="s">
        <v>276</v>
      </c>
      <c r="G19" s="7" t="s">
        <v>282</v>
      </c>
    </row>
    <row r="20" customFormat="false" ht="15" hidden="false" customHeight="false" outlineLevel="0" collapsed="false">
      <c r="A20" s="10" t="s">
        <v>283</v>
      </c>
      <c r="B20" s="7" t="s">
        <v>284</v>
      </c>
      <c r="C20" s="7" t="s">
        <v>285</v>
      </c>
      <c r="D20" s="6" t="n">
        <v>2</v>
      </c>
      <c r="E20" s="7" t="s">
        <v>224</v>
      </c>
      <c r="F20" s="6" t="s">
        <v>276</v>
      </c>
      <c r="G20" s="6"/>
    </row>
    <row r="21" customFormat="false" ht="15" hidden="false" customHeight="false" outlineLevel="0" collapsed="false">
      <c r="A21" s="10" t="s">
        <v>286</v>
      </c>
      <c r="B21" s="7" t="s">
        <v>284</v>
      </c>
      <c r="C21" s="7" t="s">
        <v>287</v>
      </c>
      <c r="D21" s="6" t="n">
        <v>1.5</v>
      </c>
      <c r="E21" s="7" t="s">
        <v>86</v>
      </c>
      <c r="F21" s="6" t="s">
        <v>288</v>
      </c>
      <c r="G21" s="7" t="s">
        <v>289</v>
      </c>
    </row>
    <row r="22" customFormat="false" ht="29.85" hidden="false" customHeight="false" outlineLevel="0" collapsed="false">
      <c r="A22" s="10" t="s">
        <v>290</v>
      </c>
      <c r="B22" s="7" t="s">
        <v>291</v>
      </c>
      <c r="C22" s="7" t="s">
        <v>292</v>
      </c>
      <c r="D22" s="6" t="n">
        <v>50</v>
      </c>
      <c r="E22" s="7" t="s">
        <v>293</v>
      </c>
      <c r="F22" s="6" t="s">
        <v>294</v>
      </c>
      <c r="G22" s="7" t="s">
        <v>295</v>
      </c>
    </row>
    <row r="23" customFormat="false" ht="29.85" hidden="false" customHeight="false" outlineLevel="0" collapsed="false">
      <c r="A23" s="10" t="s">
        <v>296</v>
      </c>
      <c r="B23" s="7" t="s">
        <v>291</v>
      </c>
      <c r="C23" s="7" t="s">
        <v>297</v>
      </c>
      <c r="D23" s="6" t="n">
        <v>5</v>
      </c>
      <c r="E23" s="7" t="s">
        <v>293</v>
      </c>
      <c r="F23" s="6" t="s">
        <v>294</v>
      </c>
      <c r="G23" s="7" t="s">
        <v>298</v>
      </c>
    </row>
    <row r="24" customFormat="false" ht="15" hidden="false" customHeight="false" outlineLevel="0" collapsed="false">
      <c r="A24" s="10" t="s">
        <v>299</v>
      </c>
      <c r="B24" s="7" t="s">
        <v>265</v>
      </c>
      <c r="C24" s="7" t="s">
        <v>297</v>
      </c>
      <c r="D24" s="6" t="n">
        <v>8</v>
      </c>
      <c r="E24" s="7" t="s">
        <v>293</v>
      </c>
      <c r="F24" s="6" t="s">
        <v>266</v>
      </c>
      <c r="G24" s="7" t="s">
        <v>300</v>
      </c>
    </row>
    <row r="25" customFormat="false" ht="15" hidden="false" customHeight="false" outlineLevel="0" collapsed="false">
      <c r="A25" s="10" t="s">
        <v>301</v>
      </c>
      <c r="B25" s="7" t="s">
        <v>302</v>
      </c>
      <c r="C25" s="7" t="s">
        <v>303</v>
      </c>
      <c r="D25" s="6" t="n">
        <v>0.5</v>
      </c>
      <c r="E25" s="7" t="s">
        <v>86</v>
      </c>
      <c r="F25" s="6" t="s">
        <v>304</v>
      </c>
      <c r="G25" s="6" t="s">
        <v>305</v>
      </c>
    </row>
    <row r="26" customFormat="false" ht="15" hidden="false" customHeight="false" outlineLevel="0" collapsed="false">
      <c r="A26" s="10" t="s">
        <v>306</v>
      </c>
      <c r="B26" s="7" t="s">
        <v>302</v>
      </c>
      <c r="C26" s="7" t="s">
        <v>307</v>
      </c>
      <c r="D26" s="6" t="n">
        <v>0.5</v>
      </c>
      <c r="E26" s="7" t="s">
        <v>86</v>
      </c>
      <c r="F26" s="6" t="s">
        <v>304</v>
      </c>
      <c r="G26" s="7" t="s">
        <v>308</v>
      </c>
    </row>
    <row r="27" customFormat="false" ht="15" hidden="false" customHeight="false" outlineLevel="0" collapsed="false">
      <c r="A27" s="10" t="s">
        <v>309</v>
      </c>
      <c r="B27" s="7" t="s">
        <v>302</v>
      </c>
      <c r="C27" s="7" t="s">
        <v>310</v>
      </c>
      <c r="D27" s="6" t="n">
        <v>0.5</v>
      </c>
      <c r="E27" s="7" t="s">
        <v>86</v>
      </c>
      <c r="F27" s="6" t="s">
        <v>304</v>
      </c>
      <c r="G27" s="7" t="s">
        <v>311</v>
      </c>
    </row>
    <row r="28" customFormat="false" ht="15" hidden="false" customHeight="false" outlineLevel="0" collapsed="false">
      <c r="A28" s="10" t="s">
        <v>312</v>
      </c>
      <c r="B28" s="7" t="s">
        <v>269</v>
      </c>
      <c r="C28" s="7" t="s">
        <v>313</v>
      </c>
      <c r="D28" s="6" t="n">
        <v>0.6</v>
      </c>
      <c r="E28" s="7" t="s">
        <v>86</v>
      </c>
      <c r="F28" s="6" t="s">
        <v>314</v>
      </c>
      <c r="G28" s="7" t="s">
        <v>315</v>
      </c>
    </row>
    <row r="29" customFormat="false" ht="15" hidden="false" customHeight="false" outlineLevel="0" collapsed="false">
      <c r="A29" s="10" t="s">
        <v>316</v>
      </c>
      <c r="B29" s="7" t="s">
        <v>317</v>
      </c>
      <c r="C29" s="7" t="s">
        <v>318</v>
      </c>
      <c r="D29" s="6" t="n">
        <v>4.8</v>
      </c>
      <c r="E29" s="7" t="s">
        <v>293</v>
      </c>
      <c r="F29" s="6" t="s">
        <v>319</v>
      </c>
      <c r="G29" s="6"/>
    </row>
    <row r="30" customFormat="false" ht="15" hidden="false" customHeight="false" outlineLevel="0" collapsed="false">
      <c r="A30" s="10" t="s">
        <v>320</v>
      </c>
      <c r="B30" s="7" t="s">
        <v>317</v>
      </c>
      <c r="C30" s="7" t="s">
        <v>321</v>
      </c>
      <c r="D30" s="6" t="n">
        <v>25</v>
      </c>
      <c r="E30" s="7" t="s">
        <v>293</v>
      </c>
      <c r="F30" s="6" t="s">
        <v>319</v>
      </c>
      <c r="G30" s="7" t="s">
        <v>322</v>
      </c>
    </row>
    <row r="31" customFormat="false" ht="15" hidden="false" customHeight="false" outlineLevel="0" collapsed="false">
      <c r="A31" s="10" t="s">
        <v>323</v>
      </c>
      <c r="B31" s="7" t="s">
        <v>317</v>
      </c>
      <c r="C31" s="7" t="s">
        <v>324</v>
      </c>
      <c r="D31" s="6" t="n">
        <v>0</v>
      </c>
      <c r="E31" s="7" t="s">
        <v>90</v>
      </c>
      <c r="F31" s="6" t="s">
        <v>319</v>
      </c>
      <c r="G31" s="7" t="s">
        <v>325</v>
      </c>
    </row>
    <row r="32" customFormat="false" ht="29.85" hidden="false" customHeight="false" outlineLevel="0" collapsed="false">
      <c r="A32" s="10" t="s">
        <v>326</v>
      </c>
      <c r="B32" s="7" t="s">
        <v>317</v>
      </c>
      <c r="C32" s="7" t="s">
        <v>327</v>
      </c>
      <c r="D32" s="6" t="n">
        <v>12</v>
      </c>
      <c r="E32" s="7" t="s">
        <v>90</v>
      </c>
      <c r="F32" s="6" t="s">
        <v>319</v>
      </c>
      <c r="G32" s="6" t="s">
        <v>328</v>
      </c>
    </row>
    <row r="33" customFormat="false" ht="15" hidden="false" customHeight="false" outlineLevel="0" collapsed="false">
      <c r="A33" s="10" t="s">
        <v>329</v>
      </c>
      <c r="B33" s="7" t="s">
        <v>317</v>
      </c>
      <c r="C33" s="7" t="s">
        <v>330</v>
      </c>
      <c r="D33" s="6" t="n">
        <v>3</v>
      </c>
      <c r="E33" s="7" t="s">
        <v>90</v>
      </c>
      <c r="F33" s="6" t="s">
        <v>319</v>
      </c>
      <c r="G33" s="6" t="s">
        <v>331</v>
      </c>
    </row>
    <row r="35" customFormat="false" ht="15" hidden="false" customHeight="false" outlineLevel="0" collapsed="false">
      <c r="A35" s="2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62"/>
  </cols>
  <sheetData>
    <row r="1" customFormat="false" ht="19.4" hidden="false" customHeight="false" outlineLevel="0" collapsed="false">
      <c r="A1" s="8" t="s">
        <v>333</v>
      </c>
    </row>
    <row r="2" customFormat="false" ht="33.75" hidden="false" customHeight="true" outlineLevel="0" collapsed="false">
      <c r="A2" s="5" t="s">
        <v>334</v>
      </c>
      <c r="B2" s="5" t="s">
        <v>53</v>
      </c>
      <c r="C2" s="5" t="s">
        <v>335</v>
      </c>
      <c r="D2" s="5" t="s">
        <v>336</v>
      </c>
      <c r="E2" s="5" t="s">
        <v>337</v>
      </c>
      <c r="F2" s="5" t="s">
        <v>338</v>
      </c>
      <c r="G2" s="5" t="s">
        <v>339</v>
      </c>
      <c r="H2" s="5" t="s">
        <v>340</v>
      </c>
      <c r="I2" s="5" t="s">
        <v>341</v>
      </c>
      <c r="J2" s="5" t="s">
        <v>342</v>
      </c>
      <c r="K2" s="5" t="s">
        <v>343</v>
      </c>
      <c r="L2" s="5" t="s">
        <v>180</v>
      </c>
    </row>
    <row r="3" customFormat="false" ht="15" hidden="false" customHeight="false" outlineLevel="0" collapsed="false">
      <c r="A3" s="10" t="s">
        <v>344</v>
      </c>
      <c r="B3" s="7" t="s">
        <v>345</v>
      </c>
      <c r="C3" s="6" t="s">
        <v>346</v>
      </c>
      <c r="D3" s="7" t="s">
        <v>347</v>
      </c>
      <c r="E3" s="6" t="n">
        <v>1</v>
      </c>
      <c r="F3" s="6" t="n">
        <v>1.5</v>
      </c>
      <c r="G3" s="6" t="n">
        <v>0</v>
      </c>
      <c r="H3" s="6" t="n">
        <v>0</v>
      </c>
      <c r="I3" s="6" t="s">
        <v>348</v>
      </c>
      <c r="J3" s="6" t="s">
        <v>349</v>
      </c>
      <c r="K3" s="7" t="s">
        <v>350</v>
      </c>
      <c r="L3" s="7" t="s">
        <v>351</v>
      </c>
    </row>
    <row r="4" customFormat="false" ht="15" hidden="false" customHeight="false" outlineLevel="0" collapsed="false">
      <c r="A4" s="10" t="s">
        <v>352</v>
      </c>
      <c r="B4" s="7" t="s">
        <v>291</v>
      </c>
      <c r="C4" s="6" t="s">
        <v>18</v>
      </c>
      <c r="D4" s="7" t="s">
        <v>347</v>
      </c>
      <c r="E4" s="6" t="n">
        <v>0.8</v>
      </c>
      <c r="F4" s="6" t="n">
        <v>0.5</v>
      </c>
      <c r="G4" s="6" t="n">
        <v>0</v>
      </c>
      <c r="H4" s="6" t="n">
        <v>-1</v>
      </c>
      <c r="I4" s="6" t="s">
        <v>348</v>
      </c>
      <c r="J4" s="6" t="s">
        <v>342</v>
      </c>
      <c r="K4" s="7" t="s">
        <v>350</v>
      </c>
      <c r="L4" s="7" t="s">
        <v>353</v>
      </c>
    </row>
    <row r="5" customFormat="false" ht="44" hidden="false" customHeight="false" outlineLevel="0" collapsed="false">
      <c r="A5" s="10" t="s">
        <v>354</v>
      </c>
      <c r="B5" s="7" t="s">
        <v>265</v>
      </c>
      <c r="C5" s="6" t="s">
        <v>18</v>
      </c>
      <c r="D5" s="7" t="s">
        <v>347</v>
      </c>
      <c r="E5" s="6" t="n">
        <v>0.8</v>
      </c>
      <c r="F5" s="6" t="n">
        <v>0.4</v>
      </c>
      <c r="G5" s="6" t="n">
        <v>0</v>
      </c>
      <c r="H5" s="7" t="s">
        <v>355</v>
      </c>
      <c r="I5" s="6" t="s">
        <v>348</v>
      </c>
      <c r="J5" s="6" t="s">
        <v>342</v>
      </c>
      <c r="K5" s="7" t="s">
        <v>350</v>
      </c>
      <c r="L5" s="6" t="s">
        <v>356</v>
      </c>
    </row>
    <row r="6" customFormat="false" ht="29.85" hidden="false" customHeight="false" outlineLevel="0" collapsed="false">
      <c r="A6" s="10" t="s">
        <v>357</v>
      </c>
      <c r="B6" s="7" t="s">
        <v>302</v>
      </c>
      <c r="C6" s="7" t="s">
        <v>358</v>
      </c>
      <c r="D6" s="7" t="s">
        <v>359</v>
      </c>
      <c r="E6" s="7" t="s">
        <v>100</v>
      </c>
      <c r="F6" s="7" t="s">
        <v>100</v>
      </c>
      <c r="G6" s="6" t="s">
        <v>51</v>
      </c>
      <c r="H6" s="6" t="s">
        <v>51</v>
      </c>
      <c r="I6" s="6" t="s">
        <v>51</v>
      </c>
      <c r="J6" s="6" t="s">
        <v>51</v>
      </c>
      <c r="K6" s="7" t="s">
        <v>360</v>
      </c>
      <c r="L6" s="7" t="s">
        <v>361</v>
      </c>
    </row>
    <row r="7" customFormat="false" ht="15" hidden="false" customHeight="false" outlineLevel="0" collapsed="false">
      <c r="A7" s="10" t="s">
        <v>362</v>
      </c>
      <c r="B7" s="7" t="s">
        <v>363</v>
      </c>
      <c r="C7" s="7" t="s">
        <v>364</v>
      </c>
      <c r="D7" s="7" t="s">
        <v>365</v>
      </c>
      <c r="E7" s="7" t="s">
        <v>366</v>
      </c>
      <c r="F7" s="7" t="s">
        <v>366</v>
      </c>
      <c r="G7" s="6" t="n">
        <v>0</v>
      </c>
      <c r="H7" s="7" t="s">
        <v>367</v>
      </c>
      <c r="I7" s="6" t="s">
        <v>51</v>
      </c>
      <c r="J7" s="6" t="s">
        <v>51</v>
      </c>
      <c r="K7" s="7" t="s">
        <v>350</v>
      </c>
      <c r="L7" s="6" t="s">
        <v>368</v>
      </c>
    </row>
    <row r="9" customFormat="false" ht="15" hidden="false" customHeight="false" outlineLevel="0" collapsed="false">
      <c r="A9" s="2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58"/>
  </cols>
  <sheetData>
    <row r="1" customFormat="false" ht="19.4" hidden="false" customHeight="false" outlineLevel="0" collapsed="false">
      <c r="A1" s="8" t="s">
        <v>370</v>
      </c>
    </row>
    <row r="2" customFormat="false" ht="33.75" hidden="false" customHeight="true" outlineLevel="0" collapsed="false">
      <c r="A2" s="5" t="s">
        <v>371</v>
      </c>
      <c r="B2" s="5" t="s">
        <v>372</v>
      </c>
      <c r="C2" s="5" t="s">
        <v>373</v>
      </c>
      <c r="D2" s="5" t="s">
        <v>374</v>
      </c>
      <c r="E2" s="5" t="s">
        <v>375</v>
      </c>
      <c r="F2" s="5" t="s">
        <v>376</v>
      </c>
    </row>
    <row r="3" customFormat="false" ht="15" hidden="false" customHeight="false" outlineLevel="0" collapsed="false">
      <c r="A3" s="10" t="s">
        <v>377</v>
      </c>
      <c r="B3" s="7" t="s">
        <v>378</v>
      </c>
      <c r="C3" s="7" t="s">
        <v>379</v>
      </c>
      <c r="D3" s="7" t="s">
        <v>380</v>
      </c>
      <c r="E3" s="7" t="s">
        <v>381</v>
      </c>
      <c r="F3" s="6"/>
    </row>
    <row r="4" customFormat="false" ht="15" hidden="false" customHeight="false" outlineLevel="0" collapsed="false">
      <c r="A4" s="10" t="s">
        <v>382</v>
      </c>
      <c r="B4" s="7" t="s">
        <v>378</v>
      </c>
      <c r="C4" s="7" t="s">
        <v>383</v>
      </c>
      <c r="D4" s="7" t="s">
        <v>384</v>
      </c>
      <c r="E4" s="7" t="s">
        <v>385</v>
      </c>
      <c r="F4" s="6"/>
    </row>
    <row r="5" customFormat="false" ht="15" hidden="false" customHeight="false" outlineLevel="0" collapsed="false">
      <c r="A5" s="10" t="s">
        <v>386</v>
      </c>
      <c r="B5" s="7" t="s">
        <v>378</v>
      </c>
      <c r="C5" s="7" t="s">
        <v>387</v>
      </c>
      <c r="D5" s="7" t="s">
        <v>388</v>
      </c>
      <c r="E5" s="7" t="s">
        <v>389</v>
      </c>
      <c r="F5" s="6"/>
    </row>
    <row r="6" customFormat="false" ht="15" hidden="false" customHeight="false" outlineLevel="0" collapsed="false">
      <c r="A6" s="10" t="s">
        <v>390</v>
      </c>
      <c r="B6" s="7" t="s">
        <v>378</v>
      </c>
      <c r="C6" s="7" t="s">
        <v>391</v>
      </c>
      <c r="D6" s="7" t="s">
        <v>388</v>
      </c>
      <c r="E6" s="7" t="s">
        <v>392</v>
      </c>
      <c r="F6" s="6"/>
    </row>
    <row r="7" customFormat="false" ht="15" hidden="false" customHeight="false" outlineLevel="0" collapsed="false">
      <c r="A7" s="10" t="s">
        <v>393</v>
      </c>
      <c r="B7" s="7" t="s">
        <v>378</v>
      </c>
      <c r="C7" s="7" t="s">
        <v>394</v>
      </c>
      <c r="D7" s="7" t="s">
        <v>395</v>
      </c>
      <c r="E7" s="7" t="s">
        <v>396</v>
      </c>
      <c r="F7" s="6"/>
    </row>
    <row r="8" customFormat="false" ht="15" hidden="false" customHeight="false" outlineLevel="0" collapsed="false">
      <c r="A8" s="10" t="s">
        <v>397</v>
      </c>
      <c r="B8" s="7" t="s">
        <v>378</v>
      </c>
      <c r="C8" s="7" t="s">
        <v>398</v>
      </c>
      <c r="D8" s="7" t="s">
        <v>399</v>
      </c>
      <c r="E8" s="7" t="s">
        <v>400</v>
      </c>
      <c r="F8" s="6"/>
    </row>
    <row r="9" customFormat="false" ht="29.85" hidden="false" customHeight="false" outlineLevel="0" collapsed="false">
      <c r="A9" s="10" t="s">
        <v>401</v>
      </c>
      <c r="B9" s="7" t="s">
        <v>378</v>
      </c>
      <c r="C9" s="7" t="s">
        <v>402</v>
      </c>
      <c r="D9" s="7" t="s">
        <v>403</v>
      </c>
      <c r="E9" s="7" t="s">
        <v>404</v>
      </c>
      <c r="F9" s="6"/>
    </row>
    <row r="10" customFormat="false" ht="15" hidden="false" customHeight="false" outlineLevel="0" collapsed="false">
      <c r="A10" s="10" t="s">
        <v>405</v>
      </c>
      <c r="B10" s="7" t="s">
        <v>378</v>
      </c>
      <c r="C10" s="7" t="s">
        <v>406</v>
      </c>
      <c r="D10" s="7" t="s">
        <v>407</v>
      </c>
      <c r="E10" s="7" t="s">
        <v>408</v>
      </c>
      <c r="F10" s="6"/>
    </row>
    <row r="11" customFormat="false" ht="15" hidden="false" customHeight="false" outlineLevel="0" collapsed="false">
      <c r="A11" s="10" t="s">
        <v>409</v>
      </c>
      <c r="B11" s="7" t="s">
        <v>378</v>
      </c>
      <c r="C11" s="7" t="s">
        <v>410</v>
      </c>
      <c r="D11" s="7" t="s">
        <v>61</v>
      </c>
      <c r="E11" s="7" t="s">
        <v>411</v>
      </c>
      <c r="F11" s="6"/>
    </row>
    <row r="12" customFormat="false" ht="15" hidden="false" customHeight="false" outlineLevel="0" collapsed="false">
      <c r="A12" s="10" t="s">
        <v>412</v>
      </c>
      <c r="B12" s="7" t="s">
        <v>378</v>
      </c>
      <c r="C12" s="7" t="s">
        <v>413</v>
      </c>
      <c r="D12" s="7" t="s">
        <v>414</v>
      </c>
      <c r="E12" s="7" t="s">
        <v>415</v>
      </c>
      <c r="F12" s="6"/>
    </row>
    <row r="13" customFormat="false" ht="29.85" hidden="false" customHeight="false" outlineLevel="0" collapsed="false">
      <c r="A13" s="10" t="s">
        <v>416</v>
      </c>
      <c r="B13" s="7" t="s">
        <v>417</v>
      </c>
      <c r="C13" s="7" t="s">
        <v>418</v>
      </c>
      <c r="D13" s="7" t="s">
        <v>419</v>
      </c>
      <c r="E13" s="7" t="s">
        <v>420</v>
      </c>
      <c r="F13" s="7" t="s">
        <v>421</v>
      </c>
    </row>
    <row r="14" customFormat="false" ht="15" hidden="false" customHeight="false" outlineLevel="0" collapsed="false">
      <c r="A14" s="10" t="s">
        <v>422</v>
      </c>
      <c r="B14" s="7" t="s">
        <v>417</v>
      </c>
      <c r="C14" s="7" t="s">
        <v>423</v>
      </c>
      <c r="D14" s="7" t="s">
        <v>424</v>
      </c>
      <c r="E14" s="7" t="s">
        <v>425</v>
      </c>
      <c r="F14" s="7" t="s">
        <v>426</v>
      </c>
    </row>
    <row r="15" customFormat="false" ht="29.85" hidden="false" customHeight="false" outlineLevel="0" collapsed="false">
      <c r="A15" s="10" t="s">
        <v>427</v>
      </c>
      <c r="B15" s="7" t="s">
        <v>417</v>
      </c>
      <c r="C15" s="7" t="s">
        <v>428</v>
      </c>
      <c r="D15" s="7" t="s">
        <v>429</v>
      </c>
      <c r="E15" s="7" t="s">
        <v>430</v>
      </c>
      <c r="F15" s="7" t="s">
        <v>431</v>
      </c>
    </row>
    <row r="16" customFormat="false" ht="15" hidden="false" customHeight="false" outlineLevel="0" collapsed="false">
      <c r="A16" s="10" t="s">
        <v>432</v>
      </c>
      <c r="B16" s="7" t="s">
        <v>417</v>
      </c>
      <c r="C16" s="7" t="s">
        <v>433</v>
      </c>
      <c r="D16" s="7" t="s">
        <v>434</v>
      </c>
      <c r="E16" s="7" t="s">
        <v>435</v>
      </c>
      <c r="F16" s="7" t="s">
        <v>436</v>
      </c>
    </row>
    <row r="17" customFormat="false" ht="15" hidden="false" customHeight="false" outlineLevel="0" collapsed="false">
      <c r="A17" s="10" t="s">
        <v>437</v>
      </c>
      <c r="B17" s="7" t="s">
        <v>417</v>
      </c>
      <c r="C17" s="6" t="s">
        <v>438</v>
      </c>
      <c r="D17" s="7" t="s">
        <v>439</v>
      </c>
      <c r="E17" s="6" t="s">
        <v>440</v>
      </c>
      <c r="F17" s="7" t="s">
        <v>441</v>
      </c>
    </row>
    <row r="18" customFormat="false" ht="15" hidden="false" customHeight="false" outlineLevel="0" collapsed="false">
      <c r="A18" s="10" t="s">
        <v>442</v>
      </c>
      <c r="B18" s="7" t="s">
        <v>417</v>
      </c>
      <c r="C18" s="7" t="s">
        <v>443</v>
      </c>
      <c r="D18" s="7" t="s">
        <v>444</v>
      </c>
      <c r="E18" s="7" t="s">
        <v>445</v>
      </c>
      <c r="F18" s="7" t="s">
        <v>446</v>
      </c>
    </row>
    <row r="19" customFormat="false" ht="15" hidden="false" customHeight="false" outlineLevel="0" collapsed="false">
      <c r="A19" s="10" t="s">
        <v>447</v>
      </c>
      <c r="B19" s="7" t="s">
        <v>417</v>
      </c>
      <c r="C19" s="7" t="s">
        <v>448</v>
      </c>
      <c r="D19" s="7" t="s">
        <v>449</v>
      </c>
      <c r="E19" s="7" t="s">
        <v>450</v>
      </c>
      <c r="F19" s="7" t="s">
        <v>451</v>
      </c>
    </row>
    <row r="20" customFormat="false" ht="29.85" hidden="false" customHeight="false" outlineLevel="0" collapsed="false">
      <c r="A20" s="10" t="s">
        <v>452</v>
      </c>
      <c r="B20" s="7" t="s">
        <v>417</v>
      </c>
      <c r="C20" s="7" t="s">
        <v>453</v>
      </c>
      <c r="D20" s="7" t="s">
        <v>454</v>
      </c>
      <c r="E20" s="7" t="s">
        <v>455</v>
      </c>
      <c r="F20" s="7" t="s">
        <v>456</v>
      </c>
    </row>
    <row r="22" customFormat="false" ht="15" hidden="false" customHeight="false" outlineLevel="0" collapsed="false">
      <c r="A22" s="2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22"/>
    <col collapsed="false" customWidth="true" hidden="false" outlineLevel="0" max="10" min="10" style="0" width="50"/>
  </cols>
  <sheetData>
    <row r="1" customFormat="false" ht="19.4" hidden="false" customHeight="false" outlineLevel="0" collapsed="false">
      <c r="A1" s="8" t="s">
        <v>458</v>
      </c>
    </row>
    <row r="2" customFormat="false" ht="33.75" hidden="false" customHeight="true" outlineLevel="0" collapsed="false">
      <c r="A2" s="5" t="s">
        <v>459</v>
      </c>
      <c r="B2" s="5" t="s">
        <v>161</v>
      </c>
      <c r="C2" s="5" t="s">
        <v>460</v>
      </c>
      <c r="D2" s="5" t="s">
        <v>461</v>
      </c>
      <c r="E2" s="5" t="s">
        <v>462</v>
      </c>
      <c r="F2" s="5" t="s">
        <v>463</v>
      </c>
      <c r="G2" s="5" t="s">
        <v>464</v>
      </c>
      <c r="H2" s="5" t="s">
        <v>465</v>
      </c>
      <c r="I2" s="5" t="s">
        <v>466</v>
      </c>
      <c r="J2" s="5" t="s">
        <v>180</v>
      </c>
    </row>
    <row r="3" customFormat="false" ht="15" hidden="false" customHeight="false" outlineLevel="0" collapsed="false">
      <c r="A3" s="10" t="s">
        <v>467</v>
      </c>
      <c r="B3" s="7" t="s">
        <v>468</v>
      </c>
      <c r="C3" s="6" t="s">
        <v>469</v>
      </c>
      <c r="D3" s="7" t="s">
        <v>470</v>
      </c>
      <c r="E3" s="7" t="s">
        <v>471</v>
      </c>
      <c r="F3" s="6" t="s">
        <v>51</v>
      </c>
      <c r="G3" s="6" t="s">
        <v>51</v>
      </c>
      <c r="H3" s="6" t="s">
        <v>51</v>
      </c>
      <c r="I3" s="6" t="s">
        <v>51</v>
      </c>
      <c r="J3" s="6"/>
    </row>
    <row r="4" customFormat="false" ht="29.85" hidden="false" customHeight="false" outlineLevel="0" collapsed="false">
      <c r="A4" s="10" t="s">
        <v>472</v>
      </c>
      <c r="B4" s="7" t="s">
        <v>473</v>
      </c>
      <c r="C4" s="6" t="s">
        <v>474</v>
      </c>
      <c r="D4" s="6" t="s">
        <v>475</v>
      </c>
      <c r="E4" s="7" t="s">
        <v>476</v>
      </c>
      <c r="F4" s="6" t="s">
        <v>477</v>
      </c>
      <c r="G4" s="6" t="s">
        <v>51</v>
      </c>
      <c r="H4" s="6" t="n">
        <v>3</v>
      </c>
      <c r="I4" s="6" t="s">
        <v>51</v>
      </c>
      <c r="J4" s="7" t="s">
        <v>478</v>
      </c>
    </row>
    <row r="5" customFormat="false" ht="15" hidden="false" customHeight="false" outlineLevel="0" collapsed="false">
      <c r="A5" s="10" t="s">
        <v>479</v>
      </c>
      <c r="B5" s="7" t="s">
        <v>203</v>
      </c>
      <c r="C5" s="6" t="s">
        <v>480</v>
      </c>
      <c r="D5" s="6" t="s">
        <v>481</v>
      </c>
      <c r="E5" s="7" t="s">
        <v>482</v>
      </c>
      <c r="F5" s="6" t="s">
        <v>51</v>
      </c>
      <c r="G5" s="6" t="s">
        <v>51</v>
      </c>
      <c r="H5" s="6" t="s">
        <v>51</v>
      </c>
      <c r="I5" s="7" t="s">
        <v>483</v>
      </c>
      <c r="J5" s="7" t="s">
        <v>484</v>
      </c>
    </row>
    <row r="6" customFormat="false" ht="15" hidden="false" customHeight="false" outlineLevel="0" collapsed="false">
      <c r="A6" s="10" t="s">
        <v>485</v>
      </c>
      <c r="B6" s="7" t="s">
        <v>269</v>
      </c>
      <c r="C6" s="6" t="s">
        <v>486</v>
      </c>
      <c r="D6" s="6" t="s">
        <v>487</v>
      </c>
      <c r="E6" s="7" t="s">
        <v>488</v>
      </c>
      <c r="F6" s="6" t="s">
        <v>51</v>
      </c>
      <c r="G6" s="6" t="n">
        <v>0.6</v>
      </c>
      <c r="H6" s="6" t="s">
        <v>51</v>
      </c>
      <c r="I6" s="7" t="s">
        <v>484</v>
      </c>
      <c r="J6" s="6"/>
    </row>
    <row r="7" customFormat="false" ht="15" hidden="false" customHeight="false" outlineLevel="0" collapsed="false">
      <c r="A7" s="10" t="s">
        <v>489</v>
      </c>
      <c r="B7" s="7" t="s">
        <v>291</v>
      </c>
      <c r="C7" s="6" t="s">
        <v>490</v>
      </c>
      <c r="D7" s="6" t="s">
        <v>491</v>
      </c>
      <c r="E7" s="7" t="s">
        <v>482</v>
      </c>
      <c r="F7" s="6" t="s">
        <v>51</v>
      </c>
      <c r="G7" s="6" t="s">
        <v>51</v>
      </c>
      <c r="H7" s="6" t="s">
        <v>51</v>
      </c>
      <c r="I7" s="7" t="s">
        <v>492</v>
      </c>
      <c r="J7" s="7" t="s">
        <v>493</v>
      </c>
    </row>
    <row r="8" customFormat="false" ht="15" hidden="false" customHeight="false" outlineLevel="0" collapsed="false">
      <c r="A8" s="10" t="s">
        <v>494</v>
      </c>
      <c r="B8" s="7" t="s">
        <v>495</v>
      </c>
      <c r="C8" s="6" t="s">
        <v>496</v>
      </c>
      <c r="D8" s="6" t="s">
        <v>497</v>
      </c>
      <c r="E8" s="7" t="s">
        <v>498</v>
      </c>
      <c r="F8" s="6" t="s">
        <v>51</v>
      </c>
      <c r="G8" s="6" t="s">
        <v>51</v>
      </c>
      <c r="H8" s="6" t="s">
        <v>51</v>
      </c>
      <c r="I8" s="6" t="s">
        <v>51</v>
      </c>
      <c r="J8" s="6"/>
    </row>
    <row r="9" customFormat="false" ht="15" hidden="false" customHeight="false" outlineLevel="0" collapsed="false">
      <c r="A9" s="10" t="s">
        <v>499</v>
      </c>
      <c r="B9" s="7" t="s">
        <v>302</v>
      </c>
      <c r="C9" s="6" t="s">
        <v>500</v>
      </c>
      <c r="D9" s="6" t="s">
        <v>500</v>
      </c>
      <c r="E9" s="7" t="s">
        <v>488</v>
      </c>
      <c r="F9" s="6" t="s">
        <v>51</v>
      </c>
      <c r="G9" s="6" t="n">
        <v>0.5</v>
      </c>
      <c r="H9" s="6" t="s">
        <v>51</v>
      </c>
      <c r="I9" s="6" t="s">
        <v>51</v>
      </c>
      <c r="J9" s="7" t="s">
        <v>501</v>
      </c>
    </row>
    <row r="10" customFormat="false" ht="15" hidden="false" customHeight="false" outlineLevel="0" collapsed="false">
      <c r="A10" s="10" t="s">
        <v>502</v>
      </c>
      <c r="B10" s="7" t="s">
        <v>284</v>
      </c>
      <c r="C10" s="6" t="s">
        <v>503</v>
      </c>
      <c r="D10" s="6" t="s">
        <v>504</v>
      </c>
      <c r="E10" s="7" t="s">
        <v>498</v>
      </c>
      <c r="F10" s="6" t="n">
        <v>1.5</v>
      </c>
      <c r="G10" s="6" t="s">
        <v>51</v>
      </c>
      <c r="H10" s="6" t="s">
        <v>51</v>
      </c>
      <c r="I10" s="7" t="s">
        <v>505</v>
      </c>
      <c r="J10" s="7" t="s">
        <v>506</v>
      </c>
    </row>
    <row r="11" customFormat="false" ht="15" hidden="false" customHeight="false" outlineLevel="0" collapsed="false">
      <c r="A11" s="10" t="s">
        <v>507</v>
      </c>
      <c r="B11" s="7" t="s">
        <v>508</v>
      </c>
      <c r="C11" s="6" t="s">
        <v>509</v>
      </c>
      <c r="D11" s="6" t="s">
        <v>510</v>
      </c>
      <c r="E11" s="7" t="s">
        <v>488</v>
      </c>
      <c r="F11" s="6" t="s">
        <v>51</v>
      </c>
      <c r="G11" s="6" t="s">
        <v>51</v>
      </c>
      <c r="H11" s="6" t="s">
        <v>51</v>
      </c>
      <c r="I11" s="6" t="s">
        <v>51</v>
      </c>
      <c r="J11" s="6"/>
    </row>
    <row r="12" customFormat="false" ht="15" hidden="false" customHeight="false" outlineLevel="0" collapsed="false">
      <c r="A12" s="10" t="s">
        <v>511</v>
      </c>
      <c r="B12" s="7" t="s">
        <v>512</v>
      </c>
      <c r="C12" s="6" t="s">
        <v>513</v>
      </c>
      <c r="D12" s="6" t="s">
        <v>514</v>
      </c>
      <c r="E12" s="7" t="s">
        <v>488</v>
      </c>
      <c r="F12" s="6" t="s">
        <v>51</v>
      </c>
      <c r="G12" s="6" t="s">
        <v>51</v>
      </c>
      <c r="H12" s="6" t="s">
        <v>51</v>
      </c>
      <c r="I12" s="6" t="s">
        <v>51</v>
      </c>
      <c r="J12" s="6"/>
    </row>
    <row r="14" customFormat="false" ht="15" hidden="false" customHeight="false" outlineLevel="0" collapsed="false">
      <c r="A14" s="2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38"/>
    <col collapsed="false" customWidth="true" hidden="false" outlineLevel="0" max="8" min="8" style="0" width="17"/>
    <col collapsed="false" customWidth="true" hidden="false" outlineLevel="0" max="9" min="9" style="0" width="64"/>
  </cols>
  <sheetData>
    <row r="1" customFormat="false" ht="19.4" hidden="false" customHeight="false" outlineLevel="0" collapsed="false">
      <c r="A1" s="8" t="s">
        <v>516</v>
      </c>
    </row>
    <row r="2" customFormat="false" ht="33.75" hidden="false" customHeight="true" outlineLevel="0" collapsed="false">
      <c r="A2" s="5" t="s">
        <v>517</v>
      </c>
      <c r="B2" s="5" t="s">
        <v>518</v>
      </c>
      <c r="C2" s="5" t="s">
        <v>342</v>
      </c>
      <c r="D2" s="5" t="s">
        <v>519</v>
      </c>
      <c r="E2" s="5" t="s">
        <v>520</v>
      </c>
      <c r="F2" s="5" t="s">
        <v>521</v>
      </c>
      <c r="G2" s="5" t="s">
        <v>522</v>
      </c>
      <c r="H2" s="5" t="s">
        <v>523</v>
      </c>
      <c r="I2" s="5" t="s">
        <v>376</v>
      </c>
    </row>
    <row r="3" customFormat="false" ht="15" hidden="false" customHeight="false" outlineLevel="0" collapsed="false">
      <c r="A3" s="10" t="s">
        <v>524</v>
      </c>
      <c r="B3" s="7" t="s">
        <v>317</v>
      </c>
      <c r="C3" s="7" t="s">
        <v>525</v>
      </c>
      <c r="D3" s="6" t="s">
        <v>51</v>
      </c>
      <c r="E3" s="12" t="s">
        <v>61</v>
      </c>
      <c r="F3" s="7" t="s">
        <v>526</v>
      </c>
      <c r="G3" s="7" t="s">
        <v>527</v>
      </c>
      <c r="H3" s="7" t="s">
        <v>61</v>
      </c>
      <c r="I3" s="7" t="s">
        <v>528</v>
      </c>
    </row>
    <row r="4" customFormat="false" ht="15" hidden="false" customHeight="false" outlineLevel="0" collapsed="false">
      <c r="A4" s="10" t="s">
        <v>529</v>
      </c>
      <c r="B4" s="7" t="s">
        <v>317</v>
      </c>
      <c r="C4" s="7" t="s">
        <v>530</v>
      </c>
      <c r="D4" s="6" t="s">
        <v>51</v>
      </c>
      <c r="E4" s="12" t="s">
        <v>63</v>
      </c>
      <c r="F4" s="7" t="s">
        <v>531</v>
      </c>
      <c r="G4" s="7" t="s">
        <v>532</v>
      </c>
      <c r="H4" s="7" t="s">
        <v>533</v>
      </c>
      <c r="I4" s="7" t="s">
        <v>534</v>
      </c>
    </row>
    <row r="5" customFormat="false" ht="15" hidden="false" customHeight="false" outlineLevel="0" collapsed="false">
      <c r="A5" s="10" t="s">
        <v>535</v>
      </c>
      <c r="B5" s="7" t="s">
        <v>536</v>
      </c>
      <c r="C5" s="7" t="s">
        <v>537</v>
      </c>
      <c r="D5" s="6" t="s">
        <v>51</v>
      </c>
      <c r="E5" s="12" t="s">
        <v>61</v>
      </c>
      <c r="F5" s="7" t="s">
        <v>538</v>
      </c>
      <c r="G5" s="7" t="s">
        <v>539</v>
      </c>
      <c r="H5" s="7" t="s">
        <v>540</v>
      </c>
      <c r="I5" s="7" t="s">
        <v>541</v>
      </c>
    </row>
    <row r="6" customFormat="false" ht="15" hidden="false" customHeight="false" outlineLevel="0" collapsed="false">
      <c r="A6" s="10" t="s">
        <v>542</v>
      </c>
      <c r="B6" s="7" t="s">
        <v>536</v>
      </c>
      <c r="C6" s="7" t="s">
        <v>543</v>
      </c>
      <c r="D6" s="6" t="s">
        <v>51</v>
      </c>
      <c r="E6" s="12" t="s">
        <v>61</v>
      </c>
      <c r="F6" s="7" t="s">
        <v>538</v>
      </c>
      <c r="G6" s="7" t="s">
        <v>544</v>
      </c>
      <c r="H6" s="7" t="s">
        <v>540</v>
      </c>
      <c r="I6" s="7" t="s">
        <v>545</v>
      </c>
    </row>
    <row r="7" customFormat="false" ht="15" hidden="false" customHeight="false" outlineLevel="0" collapsed="false">
      <c r="A7" s="10" t="s">
        <v>546</v>
      </c>
      <c r="B7" s="7" t="s">
        <v>536</v>
      </c>
      <c r="C7" s="7" t="s">
        <v>547</v>
      </c>
      <c r="D7" s="6" t="s">
        <v>51</v>
      </c>
      <c r="E7" s="12" t="s">
        <v>71</v>
      </c>
      <c r="F7" s="7" t="s">
        <v>548</v>
      </c>
      <c r="G7" s="7" t="s">
        <v>549</v>
      </c>
      <c r="H7" s="7" t="s">
        <v>550</v>
      </c>
      <c r="I7" s="7" t="s">
        <v>551</v>
      </c>
    </row>
    <row r="8" customFormat="false" ht="15" hidden="false" customHeight="false" outlineLevel="0" collapsed="false">
      <c r="A8" s="10" t="s">
        <v>552</v>
      </c>
      <c r="B8" s="7" t="s">
        <v>536</v>
      </c>
      <c r="C8" s="7" t="s">
        <v>553</v>
      </c>
      <c r="D8" s="6" t="s">
        <v>51</v>
      </c>
      <c r="E8" s="12" t="s">
        <v>61</v>
      </c>
      <c r="F8" s="7" t="s">
        <v>554</v>
      </c>
      <c r="G8" s="7" t="s">
        <v>555</v>
      </c>
      <c r="H8" s="7" t="s">
        <v>556</v>
      </c>
      <c r="I8" s="7" t="s">
        <v>557</v>
      </c>
    </row>
    <row r="9" customFormat="false" ht="15" hidden="false" customHeight="false" outlineLevel="0" collapsed="false">
      <c r="A9" s="10" t="s">
        <v>558</v>
      </c>
      <c r="B9" s="7" t="s">
        <v>269</v>
      </c>
      <c r="C9" s="7" t="s">
        <v>559</v>
      </c>
      <c r="D9" s="6" t="s">
        <v>51</v>
      </c>
      <c r="E9" s="12" t="s">
        <v>100</v>
      </c>
      <c r="F9" s="7" t="s">
        <v>560</v>
      </c>
      <c r="G9" s="7" t="s">
        <v>561</v>
      </c>
      <c r="H9" s="7" t="s">
        <v>100</v>
      </c>
      <c r="I9" s="7" t="s">
        <v>562</v>
      </c>
    </row>
    <row r="10" customFormat="false" ht="15" hidden="false" customHeight="false" outlineLevel="0" collapsed="false">
      <c r="A10" s="10" t="s">
        <v>563</v>
      </c>
      <c r="B10" s="7" t="s">
        <v>269</v>
      </c>
      <c r="C10" s="7" t="s">
        <v>564</v>
      </c>
      <c r="D10" s="6" t="s">
        <v>51</v>
      </c>
      <c r="E10" s="12" t="s">
        <v>100</v>
      </c>
      <c r="F10" s="7" t="s">
        <v>100</v>
      </c>
      <c r="G10" s="7" t="s">
        <v>565</v>
      </c>
      <c r="H10" s="7" t="s">
        <v>100</v>
      </c>
      <c r="I10" s="7" t="s">
        <v>566</v>
      </c>
    </row>
    <row r="11" customFormat="false" ht="29.85" hidden="false" customHeight="false" outlineLevel="0" collapsed="false">
      <c r="A11" s="10" t="s">
        <v>567</v>
      </c>
      <c r="B11" s="7" t="s">
        <v>269</v>
      </c>
      <c r="C11" s="7" t="s">
        <v>568</v>
      </c>
      <c r="D11" s="6" t="s">
        <v>51</v>
      </c>
      <c r="E11" s="12" t="s">
        <v>61</v>
      </c>
      <c r="F11" s="6" t="s">
        <v>51</v>
      </c>
      <c r="G11" s="7" t="s">
        <v>569</v>
      </c>
      <c r="H11" s="7" t="s">
        <v>61</v>
      </c>
      <c r="I11" s="6" t="s">
        <v>570</v>
      </c>
    </row>
    <row r="12" customFormat="false" ht="15" hidden="false" customHeight="false" outlineLevel="0" collapsed="false">
      <c r="A12" s="10" t="s">
        <v>571</v>
      </c>
      <c r="B12" s="7" t="s">
        <v>269</v>
      </c>
      <c r="C12" s="7" t="s">
        <v>572</v>
      </c>
      <c r="D12" s="6" t="s">
        <v>51</v>
      </c>
      <c r="E12" s="12" t="s">
        <v>61</v>
      </c>
      <c r="F12" s="6" t="s">
        <v>51</v>
      </c>
      <c r="G12" s="7" t="s">
        <v>573</v>
      </c>
      <c r="H12" s="7" t="s">
        <v>61</v>
      </c>
      <c r="I12" s="7" t="s">
        <v>574</v>
      </c>
    </row>
    <row r="13" customFormat="false" ht="15" hidden="false" customHeight="false" outlineLevel="0" collapsed="false">
      <c r="A13" s="10" t="s">
        <v>575</v>
      </c>
      <c r="B13" s="7" t="s">
        <v>291</v>
      </c>
      <c r="C13" s="7" t="s">
        <v>576</v>
      </c>
      <c r="D13" s="6" t="s">
        <v>51</v>
      </c>
      <c r="E13" s="12" t="s">
        <v>61</v>
      </c>
      <c r="F13" s="7" t="s">
        <v>577</v>
      </c>
      <c r="G13" s="7" t="s">
        <v>578</v>
      </c>
      <c r="H13" s="7" t="s">
        <v>61</v>
      </c>
      <c r="I13" s="7" t="s">
        <v>579</v>
      </c>
    </row>
    <row r="14" customFormat="false" ht="15" hidden="false" customHeight="false" outlineLevel="0" collapsed="false">
      <c r="A14" s="10" t="s">
        <v>580</v>
      </c>
      <c r="B14" s="7" t="s">
        <v>291</v>
      </c>
      <c r="C14" s="7" t="s">
        <v>581</v>
      </c>
      <c r="D14" s="6" t="s">
        <v>51</v>
      </c>
      <c r="E14" s="12" t="s">
        <v>67</v>
      </c>
      <c r="F14" s="7" t="s">
        <v>582</v>
      </c>
      <c r="G14" s="7" t="s">
        <v>583</v>
      </c>
      <c r="H14" s="7" t="s">
        <v>584</v>
      </c>
      <c r="I14" s="7" t="s">
        <v>585</v>
      </c>
    </row>
    <row r="15" customFormat="false" ht="15" hidden="false" customHeight="false" outlineLevel="0" collapsed="false">
      <c r="A15" s="10" t="s">
        <v>586</v>
      </c>
      <c r="B15" s="7" t="s">
        <v>291</v>
      </c>
      <c r="C15" s="7" t="s">
        <v>587</v>
      </c>
      <c r="D15" s="6" t="s">
        <v>588</v>
      </c>
      <c r="E15" s="12" t="s">
        <v>67</v>
      </c>
      <c r="F15" s="7" t="s">
        <v>589</v>
      </c>
      <c r="G15" s="7" t="s">
        <v>590</v>
      </c>
      <c r="H15" s="7" t="s">
        <v>591</v>
      </c>
      <c r="I15" s="7" t="s">
        <v>592</v>
      </c>
    </row>
    <row r="16" customFormat="false" ht="29.85" hidden="false" customHeight="false" outlineLevel="0" collapsed="false">
      <c r="A16" s="10" t="s">
        <v>593</v>
      </c>
      <c r="B16" s="7" t="s">
        <v>291</v>
      </c>
      <c r="C16" s="7" t="s">
        <v>594</v>
      </c>
      <c r="D16" s="6" t="s">
        <v>51</v>
      </c>
      <c r="E16" s="12" t="s">
        <v>63</v>
      </c>
      <c r="F16" s="7" t="s">
        <v>595</v>
      </c>
      <c r="G16" s="7" t="s">
        <v>596</v>
      </c>
      <c r="H16" s="7" t="s">
        <v>533</v>
      </c>
      <c r="I16" s="7" t="s">
        <v>597</v>
      </c>
    </row>
    <row r="17" customFormat="false" ht="15" hidden="false" customHeight="false" outlineLevel="0" collapsed="false">
      <c r="A17" s="10" t="s">
        <v>598</v>
      </c>
      <c r="B17" s="7" t="s">
        <v>291</v>
      </c>
      <c r="C17" s="7" t="s">
        <v>599</v>
      </c>
      <c r="D17" s="6" t="s">
        <v>51</v>
      </c>
      <c r="E17" s="12" t="s">
        <v>61</v>
      </c>
      <c r="F17" s="7" t="s">
        <v>600</v>
      </c>
      <c r="G17" s="7" t="s">
        <v>601</v>
      </c>
      <c r="H17" s="7" t="s">
        <v>61</v>
      </c>
      <c r="I17" s="7" t="s">
        <v>602</v>
      </c>
    </row>
    <row r="18" customFormat="false" ht="15" hidden="false" customHeight="false" outlineLevel="0" collapsed="false">
      <c r="A18" s="10" t="s">
        <v>603</v>
      </c>
      <c r="B18" s="7" t="s">
        <v>291</v>
      </c>
      <c r="C18" s="7" t="s">
        <v>604</v>
      </c>
      <c r="D18" s="6" t="s">
        <v>51</v>
      </c>
      <c r="E18" s="12" t="s">
        <v>67</v>
      </c>
      <c r="F18" s="7" t="s">
        <v>605</v>
      </c>
      <c r="G18" s="7" t="s">
        <v>606</v>
      </c>
      <c r="H18" s="7" t="s">
        <v>584</v>
      </c>
      <c r="I18" s="7" t="s">
        <v>607</v>
      </c>
    </row>
    <row r="19" customFormat="false" ht="29.85" hidden="false" customHeight="false" outlineLevel="0" collapsed="false">
      <c r="A19" s="10" t="s">
        <v>608</v>
      </c>
      <c r="B19" s="7" t="s">
        <v>302</v>
      </c>
      <c r="C19" s="7" t="s">
        <v>609</v>
      </c>
      <c r="D19" s="7" t="s">
        <v>61</v>
      </c>
      <c r="E19" s="12" t="s">
        <v>71</v>
      </c>
      <c r="F19" s="7" t="s">
        <v>610</v>
      </c>
      <c r="G19" s="7" t="s">
        <v>611</v>
      </c>
      <c r="H19" s="7" t="s">
        <v>591</v>
      </c>
      <c r="I19" s="7" t="s">
        <v>612</v>
      </c>
    </row>
    <row r="20" customFormat="false" ht="15" hidden="false" customHeight="false" outlineLevel="0" collapsed="false">
      <c r="A20" s="10" t="s">
        <v>613</v>
      </c>
      <c r="B20" s="7" t="s">
        <v>302</v>
      </c>
      <c r="C20" s="7" t="s">
        <v>614</v>
      </c>
      <c r="D20" s="7" t="s">
        <v>615</v>
      </c>
      <c r="E20" s="12" t="s">
        <v>67</v>
      </c>
      <c r="F20" s="7" t="s">
        <v>616</v>
      </c>
      <c r="G20" s="7" t="s">
        <v>617</v>
      </c>
      <c r="H20" s="7" t="s">
        <v>618</v>
      </c>
      <c r="I20" s="7" t="s">
        <v>619</v>
      </c>
    </row>
    <row r="21" customFormat="false" ht="29.85" hidden="false" customHeight="false" outlineLevel="0" collapsed="false">
      <c r="A21" s="10" t="s">
        <v>620</v>
      </c>
      <c r="B21" s="7" t="s">
        <v>621</v>
      </c>
      <c r="C21" s="7" t="s">
        <v>622</v>
      </c>
      <c r="D21" s="7" t="s">
        <v>615</v>
      </c>
      <c r="E21" s="12" t="s">
        <v>623</v>
      </c>
      <c r="F21" s="7" t="s">
        <v>616</v>
      </c>
      <c r="G21" s="7" t="s">
        <v>624</v>
      </c>
      <c r="H21" s="7" t="s">
        <v>618</v>
      </c>
      <c r="I21" s="7" t="s">
        <v>625</v>
      </c>
    </row>
    <row r="22" customFormat="false" ht="29.85" hidden="false" customHeight="false" outlineLevel="0" collapsed="false">
      <c r="A22" s="10" t="s">
        <v>626</v>
      </c>
      <c r="B22" s="7" t="s">
        <v>621</v>
      </c>
      <c r="C22" s="7" t="s">
        <v>627</v>
      </c>
      <c r="D22" s="6" t="s">
        <v>51</v>
      </c>
      <c r="E22" s="12" t="s">
        <v>61</v>
      </c>
      <c r="F22" s="7" t="s">
        <v>628</v>
      </c>
      <c r="G22" s="7" t="s">
        <v>629</v>
      </c>
      <c r="H22" s="7" t="s">
        <v>61</v>
      </c>
      <c r="I22" s="7" t="s">
        <v>630</v>
      </c>
    </row>
    <row r="23" customFormat="false" ht="15" hidden="false" customHeight="false" outlineLevel="0" collapsed="false">
      <c r="A23" s="10" t="s">
        <v>631</v>
      </c>
      <c r="B23" s="7" t="s">
        <v>621</v>
      </c>
      <c r="C23" s="7" t="s">
        <v>632</v>
      </c>
      <c r="D23" s="6" t="s">
        <v>51</v>
      </c>
      <c r="E23" s="12" t="s">
        <v>75</v>
      </c>
      <c r="F23" s="7" t="s">
        <v>633</v>
      </c>
      <c r="G23" s="7" t="s">
        <v>634</v>
      </c>
      <c r="H23" s="7" t="s">
        <v>76</v>
      </c>
      <c r="I23" s="7" t="s">
        <v>635</v>
      </c>
    </row>
    <row r="24" customFormat="false" ht="15" hidden="false" customHeight="false" outlineLevel="0" collapsed="false">
      <c r="A24" s="10" t="s">
        <v>636</v>
      </c>
      <c r="B24" s="7" t="s">
        <v>621</v>
      </c>
      <c r="C24" s="7" t="s">
        <v>637</v>
      </c>
      <c r="D24" s="6" t="s">
        <v>51</v>
      </c>
      <c r="E24" s="12" t="s">
        <v>67</v>
      </c>
      <c r="F24" s="7" t="s">
        <v>638</v>
      </c>
      <c r="G24" s="7" t="s">
        <v>639</v>
      </c>
      <c r="H24" s="7" t="s">
        <v>640</v>
      </c>
      <c r="I24" s="6" t="s">
        <v>641</v>
      </c>
    </row>
    <row r="25" customFormat="false" ht="15" hidden="false" customHeight="false" outlineLevel="0" collapsed="false">
      <c r="A25" s="10" t="s">
        <v>642</v>
      </c>
      <c r="B25" s="7" t="s">
        <v>621</v>
      </c>
      <c r="C25" s="7" t="s">
        <v>643</v>
      </c>
      <c r="D25" s="6" t="s">
        <v>51</v>
      </c>
      <c r="E25" s="12" t="s">
        <v>61</v>
      </c>
      <c r="F25" s="7" t="s">
        <v>644</v>
      </c>
      <c r="G25" s="7" t="s">
        <v>645</v>
      </c>
      <c r="H25" s="7" t="s">
        <v>61</v>
      </c>
      <c r="I25" s="7" t="s">
        <v>646</v>
      </c>
    </row>
    <row r="27" customFormat="false" ht="15" hidden="false" customHeight="false" outlineLevel="0" collapsed="false">
      <c r="A27" s="2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60"/>
  </cols>
  <sheetData>
    <row r="1" customFormat="false" ht="19.4" hidden="false" customHeight="false" outlineLevel="0" collapsed="false">
      <c r="A1" s="8" t="s">
        <v>648</v>
      </c>
    </row>
    <row r="2" customFormat="false" ht="33.75" hidden="false" customHeight="true" outlineLevel="0" collapsed="false">
      <c r="A2" s="5" t="s">
        <v>371</v>
      </c>
      <c r="B2" s="5" t="s">
        <v>372</v>
      </c>
      <c r="C2" s="5" t="s">
        <v>161</v>
      </c>
      <c r="D2" s="5" t="s">
        <v>649</v>
      </c>
      <c r="E2" s="5" t="s">
        <v>650</v>
      </c>
      <c r="F2" s="5" t="s">
        <v>651</v>
      </c>
      <c r="G2" s="5" t="s">
        <v>652</v>
      </c>
      <c r="H2" s="5" t="s">
        <v>653</v>
      </c>
      <c r="I2" s="5" t="s">
        <v>654</v>
      </c>
      <c r="J2" s="5" t="s">
        <v>655</v>
      </c>
      <c r="K2" s="5" t="s">
        <v>656</v>
      </c>
      <c r="L2" s="5" t="s">
        <v>657</v>
      </c>
      <c r="M2" s="5" t="s">
        <v>658</v>
      </c>
      <c r="N2" s="5" t="s">
        <v>659</v>
      </c>
    </row>
    <row r="3" customFormat="false" ht="15" hidden="false" customHeight="false" outlineLevel="0" collapsed="false">
      <c r="A3" s="10" t="s">
        <v>660</v>
      </c>
      <c r="B3" s="7" t="s">
        <v>661</v>
      </c>
      <c r="C3" s="7" t="s">
        <v>662</v>
      </c>
      <c r="D3" s="7" t="s">
        <v>663</v>
      </c>
      <c r="E3" s="13" t="s">
        <v>181</v>
      </c>
      <c r="F3" s="6" t="n">
        <v>2.5</v>
      </c>
      <c r="G3" s="11" t="n">
        <f aca="false">INDEX(01_JumpStage!$E:$E,MATCH(E3,01_JumpStage!$A:$A,0))</f>
        <v>2.5</v>
      </c>
      <c r="H3" s="11" t="str">
        <f aca="false">IF(F3&lt;=G3,"OK (여유 "&amp;TEXT(G3-F3,"0.00")&amp;")","초과 "&amp;TEXT(F3-G3,"0.00"))</f>
        <v>OK (여유 0.00)</v>
      </c>
      <c r="I3" s="6" t="n">
        <v>2</v>
      </c>
      <c r="J3" s="11" t="n">
        <f aca="false">INDEX(01_JumpStage!$I:$I,MATCH(E3,01_JumpStage!$A:$A,0))</f>
        <v>3</v>
      </c>
      <c r="K3" s="11" t="str">
        <f aca="false">IF(I3="—","—",IF(I3&lt;=J3,"OK","초과 "&amp;TEXT(I3-J3,"0.00")))</f>
        <v>OK</v>
      </c>
      <c r="L3" s="6" t="s">
        <v>51</v>
      </c>
      <c r="M3" s="6" t="s">
        <v>51</v>
      </c>
      <c r="N3" s="7" t="s">
        <v>664</v>
      </c>
    </row>
    <row r="4" customFormat="false" ht="15" hidden="false" customHeight="false" outlineLevel="0" collapsed="false">
      <c r="A4" s="10" t="s">
        <v>665</v>
      </c>
      <c r="B4" s="7" t="s">
        <v>661</v>
      </c>
      <c r="C4" s="7" t="s">
        <v>666</v>
      </c>
      <c r="D4" s="7" t="s">
        <v>663</v>
      </c>
      <c r="E4" s="13" t="s">
        <v>187</v>
      </c>
      <c r="F4" s="6" t="n">
        <v>4</v>
      </c>
      <c r="G4" s="11" t="n">
        <f aca="false">INDEX(01_JumpStage!$E:$E,MATCH(E4,01_JumpStage!$A:$A,0))</f>
        <v>4.5</v>
      </c>
      <c r="H4" s="11" t="str">
        <f aca="false">IF(F4&lt;=G4,"OK (여유 "&amp;TEXT(G4-F4,"0.00")&amp;")","초과 "&amp;TEXT(F4-G4,"0.00"))</f>
        <v>OK (여유 0.50)</v>
      </c>
      <c r="I4" s="6" t="n">
        <v>3</v>
      </c>
      <c r="J4" s="11" t="n">
        <f aca="false">INDEX(01_JumpStage!$I:$I,MATCH(E4,01_JumpStage!$A:$A,0))</f>
        <v>4</v>
      </c>
      <c r="K4" s="11" t="str">
        <f aca="false">IF(I4="—","—",IF(I4&lt;=J4,"OK","초과 "&amp;TEXT(I4-J4,"0.00")))</f>
        <v>OK</v>
      </c>
      <c r="L4" s="6" t="s">
        <v>51</v>
      </c>
      <c r="M4" s="6" t="s">
        <v>51</v>
      </c>
      <c r="N4" s="7" t="s">
        <v>667</v>
      </c>
    </row>
    <row r="5" customFormat="false" ht="15" hidden="false" customHeight="false" outlineLevel="0" collapsed="false">
      <c r="A5" s="10" t="s">
        <v>668</v>
      </c>
      <c r="B5" s="7" t="s">
        <v>661</v>
      </c>
      <c r="C5" s="7" t="s">
        <v>669</v>
      </c>
      <c r="D5" s="7" t="s">
        <v>269</v>
      </c>
      <c r="E5" s="13" t="s">
        <v>187</v>
      </c>
      <c r="F5" s="6" t="n">
        <v>4</v>
      </c>
      <c r="G5" s="11" t="n">
        <f aca="false">INDEX(01_JumpStage!$E:$E,MATCH(E5,01_JumpStage!$A:$A,0))</f>
        <v>4.5</v>
      </c>
      <c r="H5" s="11" t="str">
        <f aca="false">IF(F5&lt;=G5,"OK (여유 "&amp;TEXT(G5-F5,"0.00")&amp;")","초과 "&amp;TEXT(F5-G5,"0.00"))</f>
        <v>OK (여유 0.50)</v>
      </c>
      <c r="I5" s="6" t="s">
        <v>51</v>
      </c>
      <c r="J5" s="11" t="n">
        <f aca="false">INDEX(01_JumpStage!$I:$I,MATCH(E5,01_JumpStage!$A:$A,0))</f>
        <v>4</v>
      </c>
      <c r="K5" s="11" t="str">
        <f aca="false">IF(I5="—","—",IF(I5&lt;=J5,"OK","초과 "&amp;TEXT(I5-J5,"0.00")))</f>
        <v>—</v>
      </c>
      <c r="L5" s="6" t="s">
        <v>51</v>
      </c>
      <c r="M5" s="6" t="s">
        <v>51</v>
      </c>
      <c r="N5" s="7" t="s">
        <v>670</v>
      </c>
    </row>
    <row r="6" customFormat="false" ht="15" hidden="false" customHeight="false" outlineLevel="0" collapsed="false">
      <c r="A6" s="10" t="s">
        <v>671</v>
      </c>
      <c r="B6" s="7" t="s">
        <v>661</v>
      </c>
      <c r="C6" s="7" t="s">
        <v>672</v>
      </c>
      <c r="D6" s="7" t="s">
        <v>193</v>
      </c>
      <c r="E6" s="13" t="s">
        <v>192</v>
      </c>
      <c r="F6" s="6" t="n">
        <v>5.75</v>
      </c>
      <c r="G6" s="11" t="n">
        <f aca="false">INDEX(01_JumpStage!$E:$E,MATCH(E6,01_JumpStage!$A:$A,0))</f>
        <v>6</v>
      </c>
      <c r="H6" s="11" t="str">
        <f aca="false">IF(F6&lt;=G6,"OK (여유 "&amp;TEXT(G6-F6,"0.00")&amp;")","초과 "&amp;TEXT(F6-G6,"0.00"))</f>
        <v>OK (여유 0.25)</v>
      </c>
      <c r="I6" s="6" t="n">
        <v>5</v>
      </c>
      <c r="J6" s="11" t="n">
        <f aca="false">INDEX(01_JumpStage!$I:$I,MATCH(E6,01_JumpStage!$A:$A,0))</f>
        <v>5</v>
      </c>
      <c r="K6" s="11" t="str">
        <f aca="false">IF(I6="—","—",IF(I6&lt;=J6,"OK","초과 "&amp;TEXT(I6-J6,"0.00")))</f>
        <v>OK</v>
      </c>
      <c r="L6" s="6" t="s">
        <v>51</v>
      </c>
      <c r="M6" s="6" t="s">
        <v>51</v>
      </c>
      <c r="N6" s="7" t="s">
        <v>673</v>
      </c>
    </row>
    <row r="7" customFormat="false" ht="15" hidden="false" customHeight="false" outlineLevel="0" collapsed="false">
      <c r="A7" s="10" t="s">
        <v>674</v>
      </c>
      <c r="B7" s="7" t="s">
        <v>661</v>
      </c>
      <c r="C7" s="7" t="s">
        <v>675</v>
      </c>
      <c r="D7" s="7" t="s">
        <v>676</v>
      </c>
      <c r="E7" s="13" t="s">
        <v>197</v>
      </c>
      <c r="F7" s="6" t="n">
        <v>7.5</v>
      </c>
      <c r="G7" s="11" t="n">
        <f aca="false">INDEX(01_JumpStage!$E:$E,MATCH(E7,01_JumpStage!$A:$A,0))</f>
        <v>7.75</v>
      </c>
      <c r="H7" s="11" t="str">
        <f aca="false">IF(F7&lt;=G7,"OK (여유 "&amp;TEXT(G7-F7,"0.00")&amp;")","초과 "&amp;TEXT(F7-G7,"0.00"))</f>
        <v>OK (여유 0.25)</v>
      </c>
      <c r="I7" s="6" t="n">
        <v>6</v>
      </c>
      <c r="J7" s="11" t="n">
        <f aca="false">INDEX(01_JumpStage!$I:$I,MATCH(E7,01_JumpStage!$A:$A,0))</f>
        <v>6</v>
      </c>
      <c r="K7" s="11" t="str">
        <f aca="false">IF(I7="—","—",IF(I7&lt;=J7,"OK","초과 "&amp;TEXT(I7-J7,"0.00")))</f>
        <v>OK</v>
      </c>
      <c r="L7" s="6" t="s">
        <v>51</v>
      </c>
      <c r="M7" s="6" t="s">
        <v>51</v>
      </c>
      <c r="N7" s="7" t="s">
        <v>677</v>
      </c>
    </row>
    <row r="8" customFormat="false" ht="29.85" hidden="false" customHeight="false" outlineLevel="0" collapsed="false">
      <c r="A8" s="10" t="s">
        <v>678</v>
      </c>
      <c r="B8" s="7" t="s">
        <v>661</v>
      </c>
      <c r="C8" s="7" t="s">
        <v>679</v>
      </c>
      <c r="D8" s="7" t="s">
        <v>680</v>
      </c>
      <c r="E8" s="13" t="s">
        <v>197</v>
      </c>
      <c r="F8" s="6" t="n">
        <v>7.75</v>
      </c>
      <c r="G8" s="11" t="n">
        <f aca="false">INDEX(01_JumpStage!$E:$E,MATCH(E8,01_JumpStage!$A:$A,0))</f>
        <v>7.75</v>
      </c>
      <c r="H8" s="11" t="str">
        <f aca="false">IF(F8&lt;=G8,"OK (여유 "&amp;TEXT(G8-F8,"0.00")&amp;")","초과 "&amp;TEXT(F8-G8,"0.00"))</f>
        <v>OK (여유 0.00)</v>
      </c>
      <c r="I8" s="6" t="n">
        <v>6</v>
      </c>
      <c r="J8" s="11" t="n">
        <f aca="false">INDEX(01_JumpStage!$I:$I,MATCH(E8,01_JumpStage!$A:$A,0))</f>
        <v>6</v>
      </c>
      <c r="K8" s="11" t="str">
        <f aca="false">IF(I8="—","—",IF(I8&lt;=J8,"OK","초과 "&amp;TEXT(I8-J8,"0.00")))</f>
        <v>OK</v>
      </c>
      <c r="L8" s="6" t="s">
        <v>51</v>
      </c>
      <c r="M8" s="6" t="s">
        <v>51</v>
      </c>
      <c r="N8" s="7" t="s">
        <v>681</v>
      </c>
    </row>
    <row r="9" customFormat="false" ht="15" hidden="false" customHeight="false" outlineLevel="0" collapsed="false">
      <c r="A9" s="10" t="s">
        <v>682</v>
      </c>
      <c r="B9" s="7" t="s">
        <v>661</v>
      </c>
      <c r="C9" s="7" t="s">
        <v>683</v>
      </c>
      <c r="D9" s="7" t="s">
        <v>684</v>
      </c>
      <c r="E9" s="13" t="s">
        <v>181</v>
      </c>
      <c r="F9" s="6" t="n">
        <v>2.5</v>
      </c>
      <c r="G9" s="11" t="n">
        <f aca="false">INDEX(01_JumpStage!$E:$E,MATCH(E9,01_JumpStage!$A:$A,0))</f>
        <v>2.5</v>
      </c>
      <c r="H9" s="11" t="str">
        <f aca="false">IF(F9&lt;=G9,"OK (여유 "&amp;TEXT(G9-F9,"0.00")&amp;")","초과 "&amp;TEXT(F9-G9,"0.00"))</f>
        <v>OK (여유 0.00)</v>
      </c>
      <c r="I9" s="6" t="n">
        <v>2.25</v>
      </c>
      <c r="J9" s="11" t="n">
        <f aca="false">INDEX(01_JumpStage!$I:$I,MATCH(E9,01_JumpStage!$A:$A,0))</f>
        <v>3</v>
      </c>
      <c r="K9" s="11" t="str">
        <f aca="false">IF(I9="—","—",IF(I9&lt;=J9,"OK","초과 "&amp;TEXT(I9-J9,"0.00")))</f>
        <v>OK</v>
      </c>
      <c r="L9" s="6" t="s">
        <v>51</v>
      </c>
      <c r="M9" s="6" t="s">
        <v>51</v>
      </c>
      <c r="N9" s="7" t="s">
        <v>685</v>
      </c>
    </row>
    <row r="10" customFormat="false" ht="29.85" hidden="false" customHeight="false" outlineLevel="0" collapsed="false">
      <c r="A10" s="10" t="s">
        <v>686</v>
      </c>
      <c r="B10" s="7" t="s">
        <v>687</v>
      </c>
      <c r="C10" s="6" t="s">
        <v>688</v>
      </c>
      <c r="D10" s="6" t="s">
        <v>51</v>
      </c>
      <c r="E10" s="6" t="s">
        <v>51</v>
      </c>
      <c r="F10" s="6" t="s">
        <v>51</v>
      </c>
      <c r="G10" s="6" t="s">
        <v>51</v>
      </c>
      <c r="H10" s="6" t="s">
        <v>51</v>
      </c>
      <c r="I10" s="6" t="s">
        <v>51</v>
      </c>
      <c r="J10" s="6" t="s">
        <v>51</v>
      </c>
      <c r="K10" s="6" t="s">
        <v>51</v>
      </c>
      <c r="L10" s="6" t="n">
        <v>3</v>
      </c>
      <c r="M10" s="7" t="s">
        <v>689</v>
      </c>
      <c r="N10" s="7" t="s">
        <v>690</v>
      </c>
    </row>
    <row r="11" customFormat="false" ht="15" hidden="false" customHeight="false" outlineLevel="0" collapsed="false">
      <c r="A11" s="10" t="s">
        <v>691</v>
      </c>
      <c r="B11" s="7" t="s">
        <v>687</v>
      </c>
      <c r="C11" s="6" t="s">
        <v>692</v>
      </c>
      <c r="D11" s="6" t="s">
        <v>51</v>
      </c>
      <c r="E11" s="6" t="s">
        <v>51</v>
      </c>
      <c r="F11" s="6" t="s">
        <v>51</v>
      </c>
      <c r="G11" s="6" t="s">
        <v>51</v>
      </c>
      <c r="H11" s="6" t="s">
        <v>51</v>
      </c>
      <c r="I11" s="6" t="s">
        <v>51</v>
      </c>
      <c r="J11" s="6" t="s">
        <v>51</v>
      </c>
      <c r="K11" s="6" t="s">
        <v>51</v>
      </c>
      <c r="L11" s="6" t="n">
        <v>4</v>
      </c>
      <c r="M11" s="7" t="s">
        <v>693</v>
      </c>
      <c r="N11" s="7" t="s">
        <v>694</v>
      </c>
    </row>
    <row r="12" customFormat="false" ht="15" hidden="false" customHeight="false" outlineLevel="0" collapsed="false">
      <c r="A12" s="10" t="s">
        <v>695</v>
      </c>
      <c r="B12" s="7" t="s">
        <v>687</v>
      </c>
      <c r="C12" s="6" t="s">
        <v>696</v>
      </c>
      <c r="D12" s="6" t="s">
        <v>51</v>
      </c>
      <c r="E12" s="6" t="s">
        <v>181</v>
      </c>
      <c r="F12" s="6" t="s">
        <v>51</v>
      </c>
      <c r="G12" s="6" t="s">
        <v>51</v>
      </c>
      <c r="H12" s="6" t="s">
        <v>51</v>
      </c>
      <c r="I12" s="6" t="s">
        <v>51</v>
      </c>
      <c r="J12" s="6" t="s">
        <v>51</v>
      </c>
      <c r="K12" s="6" t="s">
        <v>51</v>
      </c>
      <c r="L12" s="6" t="s">
        <v>697</v>
      </c>
      <c r="M12" s="6" t="s">
        <v>182</v>
      </c>
      <c r="N12" s="7" t="s">
        <v>698</v>
      </c>
    </row>
    <row r="13" customFormat="false" ht="15" hidden="false" customHeight="false" outlineLevel="0" collapsed="false">
      <c r="A13" s="10" t="s">
        <v>699</v>
      </c>
      <c r="B13" s="7" t="s">
        <v>687</v>
      </c>
      <c r="C13" s="6" t="s">
        <v>700</v>
      </c>
      <c r="D13" s="6" t="s">
        <v>51</v>
      </c>
      <c r="E13" s="6" t="s">
        <v>187</v>
      </c>
      <c r="F13" s="6" t="s">
        <v>51</v>
      </c>
      <c r="G13" s="6" t="s">
        <v>51</v>
      </c>
      <c r="H13" s="6" t="s">
        <v>51</v>
      </c>
      <c r="I13" s="6" t="s">
        <v>51</v>
      </c>
      <c r="J13" s="6" t="s">
        <v>51</v>
      </c>
      <c r="K13" s="6" t="s">
        <v>51</v>
      </c>
      <c r="L13" s="6" t="n">
        <v>7</v>
      </c>
      <c r="M13" s="7" t="s">
        <v>188</v>
      </c>
      <c r="N13" s="7" t="s">
        <v>701</v>
      </c>
    </row>
    <row r="14" customFormat="false" ht="29.85" hidden="false" customHeight="false" outlineLevel="0" collapsed="false">
      <c r="A14" s="10" t="s">
        <v>702</v>
      </c>
      <c r="B14" s="7" t="s">
        <v>687</v>
      </c>
      <c r="C14" s="6" t="s">
        <v>703</v>
      </c>
      <c r="D14" s="6" t="s">
        <v>51</v>
      </c>
      <c r="E14" s="6" t="s">
        <v>192</v>
      </c>
      <c r="F14" s="6" t="s">
        <v>51</v>
      </c>
      <c r="G14" s="6" t="s">
        <v>51</v>
      </c>
      <c r="H14" s="6" t="s">
        <v>51</v>
      </c>
      <c r="I14" s="6" t="s">
        <v>51</v>
      </c>
      <c r="J14" s="6" t="s">
        <v>51</v>
      </c>
      <c r="K14" s="6" t="s">
        <v>51</v>
      </c>
      <c r="L14" s="6" t="s">
        <v>704</v>
      </c>
      <c r="M14" s="7" t="s">
        <v>705</v>
      </c>
      <c r="N14" s="7" t="s">
        <v>706</v>
      </c>
    </row>
    <row r="16" customFormat="false" ht="15" hidden="false" customHeight="false" outlineLevel="0" collapsed="false">
      <c r="A16" s="2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46"/>
  </cols>
  <sheetData>
    <row r="1" customFormat="false" ht="19.4" hidden="false" customHeight="false" outlineLevel="0" collapsed="false">
      <c r="A1" s="8" t="s">
        <v>708</v>
      </c>
    </row>
    <row r="2" customFormat="false" ht="33.75" hidden="false" customHeight="true" outlineLevel="0" collapsed="false">
      <c r="A2" s="5" t="s">
        <v>709</v>
      </c>
      <c r="B2" s="5" t="s">
        <v>161</v>
      </c>
      <c r="C2" s="5" t="s">
        <v>710</v>
      </c>
      <c r="D2" s="5" t="s">
        <v>263</v>
      </c>
      <c r="E2" s="5" t="s">
        <v>711</v>
      </c>
      <c r="F2" s="5" t="s">
        <v>712</v>
      </c>
      <c r="G2" s="5" t="s">
        <v>713</v>
      </c>
      <c r="H2" s="5" t="s">
        <v>268</v>
      </c>
      <c r="I2" s="5" t="s">
        <v>714</v>
      </c>
      <c r="J2" s="5" t="s">
        <v>715</v>
      </c>
      <c r="K2" s="5" t="s">
        <v>716</v>
      </c>
      <c r="L2" s="5" t="s">
        <v>180</v>
      </c>
    </row>
    <row r="3" customFormat="false" ht="29.85" hidden="false" customHeight="false" outlineLevel="0" collapsed="false">
      <c r="A3" s="10" t="s">
        <v>717</v>
      </c>
      <c r="B3" s="7" t="s">
        <v>718</v>
      </c>
      <c r="C3" s="6" t="s">
        <v>51</v>
      </c>
      <c r="D3" s="11" t="n">
        <f aca="false">INDEX(02_CombatParam!$D:$D,MATCH("dmg_stomp",02_CombatParam!$A:$A,0))</f>
        <v>0.5</v>
      </c>
      <c r="E3" s="11" t="n">
        <f aca="false">INDEX(02_CombatParam!$D:$D,MATCH("fall_weak",02_CombatParam!$A:$A,0))</f>
        <v>1</v>
      </c>
      <c r="F3" s="11" t="n">
        <f aca="false">INDEX(02_CombatParam!$D:$D,MATCH("fall_mid",02_CombatParam!$A:$A,0))</f>
        <v>1.3</v>
      </c>
      <c r="G3" s="11" t="n">
        <f aca="false">INDEX(02_CombatParam!$D:$D,MATCH("fall_strong",02_CombatParam!$A:$A,0))</f>
        <v>1.6</v>
      </c>
      <c r="H3" s="11" t="n">
        <f aca="false">INDEX(02_CombatParam!$D:$D,MATCH("dmg_dash",02_CombatParam!$A:$A,0))</f>
        <v>1.5</v>
      </c>
      <c r="I3" s="6" t="s">
        <v>51</v>
      </c>
      <c r="J3" s="6" t="s">
        <v>51</v>
      </c>
      <c r="K3" s="6" t="s">
        <v>51</v>
      </c>
      <c r="L3" s="7" t="s">
        <v>719</v>
      </c>
    </row>
    <row r="4" customFormat="false" ht="15" hidden="false" customHeight="false" outlineLevel="0" collapsed="false">
      <c r="A4" s="10" t="s">
        <v>240</v>
      </c>
      <c r="B4" s="6" t="s">
        <v>720</v>
      </c>
      <c r="C4" s="11" t="n">
        <f aca="false">INDEX(02_CombatParam!$D:$D,MATCH(A4,02_CombatParam!$A:$A,0))</f>
        <v>6</v>
      </c>
      <c r="D4" s="11" t="n">
        <f aca="false">$C4*D$3</f>
        <v>3</v>
      </c>
      <c r="E4" s="11" t="n">
        <f aca="false">$C4*E$3</f>
        <v>6</v>
      </c>
      <c r="F4" s="11" t="n">
        <f aca="false">$C4*F$3</f>
        <v>7.8</v>
      </c>
      <c r="G4" s="11" t="n">
        <f aca="false">$C4*G$3</f>
        <v>9.6</v>
      </c>
      <c r="H4" s="11" t="n">
        <f aca="false">$C4*H$3</f>
        <v>9</v>
      </c>
      <c r="I4" s="11" t="n">
        <f aca="false">ROUND(G4-H4,2)</f>
        <v>0.6</v>
      </c>
      <c r="J4" s="11" t="n">
        <f aca="false">ROUND(G4/H4,3)</f>
        <v>1.067</v>
      </c>
      <c r="K4" s="11" t="str">
        <f aca="false">IF(G4&gt;H4,"OK","역전")</f>
        <v>OK</v>
      </c>
      <c r="L4" s="7" t="s">
        <v>721</v>
      </c>
    </row>
    <row r="5" customFormat="false" ht="15" hidden="false" customHeight="false" outlineLevel="0" collapsed="false">
      <c r="A5" s="10" t="s">
        <v>245</v>
      </c>
      <c r="B5" s="6" t="s">
        <v>246</v>
      </c>
      <c r="C5" s="11" t="n">
        <f aca="false">INDEX(02_CombatParam!$D:$D,MATCH(A5,02_CombatParam!$A:$A,0))</f>
        <v>10</v>
      </c>
      <c r="D5" s="11" t="n">
        <f aca="false">$C5*D$3</f>
        <v>5</v>
      </c>
      <c r="E5" s="11" t="n">
        <f aca="false">$C5*E$3</f>
        <v>10</v>
      </c>
      <c r="F5" s="11" t="n">
        <f aca="false">$C5*F$3</f>
        <v>13</v>
      </c>
      <c r="G5" s="11" t="n">
        <f aca="false">$C5*G$3</f>
        <v>16</v>
      </c>
      <c r="H5" s="11" t="n">
        <f aca="false">$C5*H$3</f>
        <v>15</v>
      </c>
      <c r="I5" s="11" t="n">
        <f aca="false">ROUND(G5-H5,2)</f>
        <v>1</v>
      </c>
      <c r="J5" s="11" t="n">
        <f aca="false">ROUND(G5/H5,3)</f>
        <v>1.067</v>
      </c>
      <c r="K5" s="11" t="str">
        <f aca="false">IF(G5&gt;H5,"OK","역전")</f>
        <v>OK</v>
      </c>
      <c r="L5" s="7" t="s">
        <v>722</v>
      </c>
    </row>
    <row r="6" customFormat="false" ht="15" hidden="false" customHeight="false" outlineLevel="0" collapsed="false">
      <c r="A6" s="10" t="s">
        <v>248</v>
      </c>
      <c r="B6" s="6" t="s">
        <v>249</v>
      </c>
      <c r="C6" s="11" t="n">
        <f aca="false">INDEX(02_CombatParam!$D:$D,MATCH(A6,02_CombatParam!$A:$A,0))</f>
        <v>14</v>
      </c>
      <c r="D6" s="11" t="n">
        <f aca="false">$C6*D$3</f>
        <v>7</v>
      </c>
      <c r="E6" s="11" t="n">
        <f aca="false">$C6*E$3</f>
        <v>14</v>
      </c>
      <c r="F6" s="11" t="n">
        <f aca="false">$C6*F$3</f>
        <v>18.2</v>
      </c>
      <c r="G6" s="11" t="n">
        <f aca="false">$C6*G$3</f>
        <v>22.4</v>
      </c>
      <c r="H6" s="11" t="n">
        <f aca="false">$C6*H$3</f>
        <v>21</v>
      </c>
      <c r="I6" s="11" t="n">
        <f aca="false">ROUND(G6-H6,2)</f>
        <v>1.4</v>
      </c>
      <c r="J6" s="11" t="n">
        <f aca="false">ROUND(G6/H6,3)</f>
        <v>1.067</v>
      </c>
      <c r="K6" s="11" t="str">
        <f aca="false">IF(G6&gt;H6,"OK","역전")</f>
        <v>OK</v>
      </c>
      <c r="L6" s="7" t="s">
        <v>723</v>
      </c>
    </row>
    <row r="7" customFormat="false" ht="15" hidden="false" customHeight="false" outlineLevel="0" collapsed="false">
      <c r="A7" s="10" t="s">
        <v>250</v>
      </c>
      <c r="B7" s="6" t="s">
        <v>251</v>
      </c>
      <c r="C7" s="11" t="n">
        <f aca="false">INDEX(02_CombatParam!$D:$D,MATCH(A7,02_CombatParam!$A:$A,0))</f>
        <v>18</v>
      </c>
      <c r="D7" s="11" t="n">
        <f aca="false">$C7*D$3</f>
        <v>9</v>
      </c>
      <c r="E7" s="11" t="n">
        <f aca="false">$C7*E$3</f>
        <v>18</v>
      </c>
      <c r="F7" s="11" t="n">
        <f aca="false">$C7*F$3</f>
        <v>23.4</v>
      </c>
      <c r="G7" s="11" t="n">
        <f aca="false">$C7*G$3</f>
        <v>28.8</v>
      </c>
      <c r="H7" s="11" t="n">
        <f aca="false">$C7*H$3</f>
        <v>27</v>
      </c>
      <c r="I7" s="11" t="n">
        <f aca="false">ROUND(G7-H7,2)</f>
        <v>1.8</v>
      </c>
      <c r="J7" s="11" t="n">
        <f aca="false">ROUND(G7/H7,3)</f>
        <v>1.067</v>
      </c>
      <c r="K7" s="11" t="str">
        <f aca="false">IF(G7&gt;H7,"OK","역전")</f>
        <v>OK</v>
      </c>
      <c r="L7" s="7" t="s">
        <v>724</v>
      </c>
    </row>
    <row r="9" customFormat="false" ht="15" hidden="false" customHeight="false" outlineLevel="0" collapsed="false">
      <c r="A9" s="14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2026-08-30T13:55:58Z</dcterms:created>
  <dc:creator>openpyxl</dc:creator>
  <dc:description/>
  <dc:language>en-US</dc:language>
  <cp:lastModifiedBy/>
  <dcterms:modified xsi:type="dcterms:W3CDTF">2026-08-30T13:55:58Z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